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8680" yWindow="-60" windowWidth="29040" windowHeight="15780"/>
  </bookViews>
  <sheets>
    <sheet name="현황조사표" sheetId="2" r:id="rId1"/>
  </sheets>
  <definedNames>
    <definedName name="_xlnm._FilterDatabase" localSheetId="0" hidden="1">현황조사표!$D$1:$D$302</definedName>
    <definedName name="_xlnm.Print_Area" localSheetId="0">현황조사표!$A$1:$AB$301</definedName>
    <definedName name="Z_AA4009AF_AFE4_4842_A04E_E160BF41A047_.wvu.Cols" localSheetId="0" hidden="1">현황조사표!$C:$G,현황조사표!$L:$AB</definedName>
  </definedNames>
  <calcPr calcId="191029"/>
  <customWorkbookViews>
    <customWorkbookView name="최승석 - 사용자 보기" guid="{881C3FCF-A7CD-4AD9-88CB-15A5E928DDA6}" mergeInterval="0" personalView="1" maximized="1" windowWidth="1920" windowHeight="802" activeSheetId="2" showComments="commIndAndComment"/>
    <customWorkbookView name="Windows 사용자 - 사용자 보기" guid="{D75B71AA-C357-4E98-861E-5B901B70FE4B}" mergeInterval="0" personalView="1" maximized="1" windowWidth="890" windowHeight="840" activeSheetId="2"/>
    <customWorkbookView name="GKYO - 사용자 보기" guid="{AA4009AF-AFE4-4842-A04E-E160BF41A047}" mergeInterval="0" personalView="1" maximized="1" xWindow="1" yWindow="1" windowWidth="1920" windowHeight="842" activeSheetId="3"/>
  </customWorkbookView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15" i="2" l="1"/>
  <c r="S245" i="2"/>
  <c r="I245" i="2" s="1"/>
  <c r="I246" i="2"/>
  <c r="I102" i="2"/>
  <c r="S99" i="2"/>
  <c r="I99" i="2" s="1"/>
  <c r="N97" i="2"/>
  <c r="I97" i="2" s="1"/>
  <c r="H4" i="2" l="1"/>
  <c r="I65" i="2" l="1"/>
  <c r="I66" i="2"/>
  <c r="I70" i="2"/>
  <c r="I86" i="2"/>
  <c r="I87" i="2"/>
  <c r="I89" i="2"/>
  <c r="I94" i="2"/>
  <c r="I95" i="2"/>
  <c r="I96" i="2"/>
  <c r="I105" i="2"/>
  <c r="I109" i="2"/>
  <c r="I110" i="2"/>
  <c r="I111" i="2"/>
  <c r="I114" i="2"/>
  <c r="I125" i="2"/>
  <c r="I127" i="2"/>
  <c r="I128" i="2"/>
  <c r="I130" i="2"/>
  <c r="I132" i="2"/>
  <c r="I138" i="2"/>
  <c r="I140" i="2"/>
  <c r="I145" i="2"/>
  <c r="I155" i="2"/>
  <c r="I157" i="2"/>
  <c r="I158" i="2"/>
  <c r="I161" i="2"/>
  <c r="I163" i="2"/>
  <c r="I164" i="2"/>
  <c r="I182" i="2"/>
  <c r="I183" i="2"/>
  <c r="I184" i="2"/>
  <c r="I189" i="2"/>
  <c r="I190" i="2"/>
  <c r="I192" i="2"/>
  <c r="I193" i="2"/>
  <c r="I196" i="2"/>
  <c r="I197" i="2"/>
  <c r="I205" i="2"/>
  <c r="I209" i="2"/>
  <c r="I216" i="2"/>
  <c r="I218" i="2"/>
  <c r="I224" i="2"/>
  <c r="I225" i="2"/>
  <c r="I228" i="2"/>
  <c r="I229" i="2"/>
  <c r="I231" i="2"/>
  <c r="I235" i="2"/>
  <c r="I240" i="2"/>
  <c r="I254" i="2"/>
  <c r="I276" i="2"/>
  <c r="I277" i="2"/>
  <c r="I279" i="2"/>
  <c r="I281" i="2"/>
  <c r="I282" i="2"/>
  <c r="I285" i="2"/>
  <c r="I286" i="2"/>
  <c r="I290" i="2"/>
  <c r="I8" i="2"/>
  <c r="I10" i="2"/>
  <c r="I16" i="2"/>
  <c r="I17" i="2"/>
  <c r="I18" i="2"/>
  <c r="I27" i="2"/>
  <c r="I30" i="2"/>
  <c r="I31" i="2"/>
  <c r="I33" i="2"/>
  <c r="I35" i="2"/>
  <c r="I37" i="2"/>
  <c r="I45" i="2"/>
  <c r="I49" i="2"/>
  <c r="I51" i="2"/>
  <c r="S121" i="2" l="1"/>
  <c r="I121" i="2" s="1"/>
  <c r="N120" i="2"/>
  <c r="I120" i="2" s="1"/>
  <c r="I15" i="2"/>
  <c r="N59" i="2" l="1"/>
  <c r="I59" i="2" s="1"/>
  <c r="S58" i="2"/>
  <c r="I58" i="2" s="1"/>
  <c r="N78" i="2"/>
  <c r="I78" i="2" s="1"/>
  <c r="N77" i="2" l="1"/>
  <c r="I77" i="2" s="1"/>
  <c r="N76" i="2"/>
  <c r="I76" i="2" s="1"/>
  <c r="N75" i="2"/>
  <c r="I75" i="2" s="1"/>
  <c r="N74" i="2"/>
  <c r="I74" i="2" s="1"/>
  <c r="N73" i="2"/>
  <c r="I73" i="2" s="1"/>
  <c r="N72" i="2"/>
  <c r="I72" i="2" s="1"/>
  <c r="N71" i="2"/>
  <c r="I71" i="2" s="1"/>
  <c r="N302" i="2" l="1"/>
  <c r="I302" i="2" s="1"/>
  <c r="S301" i="2"/>
  <c r="I301" i="2" s="1"/>
  <c r="S300" i="2"/>
  <c r="I300" i="2" s="1"/>
  <c r="S299" i="2"/>
  <c r="I299" i="2" s="1"/>
  <c r="S298" i="2"/>
  <c r="I298" i="2" s="1"/>
  <c r="S297" i="2"/>
  <c r="I297" i="2" s="1"/>
  <c r="S296" i="2"/>
  <c r="I296" i="2" s="1"/>
  <c r="S295" i="2"/>
  <c r="I295" i="2" s="1"/>
  <c r="S294" i="2"/>
  <c r="I294" i="2" s="1"/>
  <c r="S293" i="2"/>
  <c r="I293" i="2" s="1"/>
  <c r="S292" i="2"/>
  <c r="I292" i="2" s="1"/>
  <c r="N291" i="2"/>
  <c r="I291" i="2" s="1"/>
  <c r="S289" i="2"/>
  <c r="I289" i="2" s="1"/>
  <c r="N288" i="2"/>
  <c r="I288" i="2" s="1"/>
  <c r="S287" i="2"/>
  <c r="I287" i="2" s="1"/>
  <c r="S284" i="2"/>
  <c r="I284" i="2" s="1"/>
  <c r="N283" i="2"/>
  <c r="I283" i="2" s="1"/>
  <c r="N280" i="2"/>
  <c r="I280" i="2" s="1"/>
  <c r="S278" i="2"/>
  <c r="I278" i="2" s="1"/>
  <c r="N275" i="2"/>
  <c r="I275" i="2" s="1"/>
  <c r="N274" i="2"/>
  <c r="I274" i="2" s="1"/>
  <c r="S273" i="2"/>
  <c r="I273" i="2" s="1"/>
  <c r="N272" i="2"/>
  <c r="I272" i="2" s="1"/>
  <c r="N271" i="2"/>
  <c r="I271" i="2" s="1"/>
  <c r="N270" i="2"/>
  <c r="I270" i="2" s="1"/>
  <c r="N269" i="2"/>
  <c r="I269" i="2" s="1"/>
  <c r="N268" i="2"/>
  <c r="I268" i="2" s="1"/>
  <c r="N267" i="2"/>
  <c r="I267" i="2" s="1"/>
  <c r="N266" i="2"/>
  <c r="I266" i="2" s="1"/>
  <c r="N265" i="2"/>
  <c r="I265" i="2" s="1"/>
  <c r="N264" i="2"/>
  <c r="I264" i="2" s="1"/>
  <c r="N263" i="2"/>
  <c r="I263" i="2" s="1"/>
  <c r="N262" i="2"/>
  <c r="I262" i="2" s="1"/>
  <c r="N261" i="2"/>
  <c r="I261" i="2" s="1"/>
  <c r="N260" i="2"/>
  <c r="I260" i="2" s="1"/>
  <c r="N259" i="2"/>
  <c r="I259" i="2" s="1"/>
  <c r="N258" i="2"/>
  <c r="I258" i="2" s="1"/>
  <c r="N257" i="2"/>
  <c r="I257" i="2" s="1"/>
  <c r="N256" i="2"/>
  <c r="I256" i="2" s="1"/>
  <c r="N255" i="2"/>
  <c r="I255" i="2" s="1"/>
  <c r="N253" i="2"/>
  <c r="I253" i="2" s="1"/>
  <c r="S252" i="2"/>
  <c r="I252" i="2" s="1"/>
  <c r="N251" i="2"/>
  <c r="I251" i="2" s="1"/>
  <c r="N250" i="2"/>
  <c r="I250" i="2" s="1"/>
  <c r="N249" i="2"/>
  <c r="I249" i="2" s="1"/>
  <c r="N248" i="2"/>
  <c r="I248" i="2" s="1"/>
  <c r="N247" i="2"/>
  <c r="I247" i="2" s="1"/>
  <c r="N244" i="2"/>
  <c r="I244" i="2" s="1"/>
  <c r="S243" i="2"/>
  <c r="I243" i="2" s="1"/>
  <c r="S242" i="2"/>
  <c r="I242" i="2" s="1"/>
  <c r="N241" i="2"/>
  <c r="I241" i="2" s="1"/>
  <c r="S239" i="2"/>
  <c r="I239" i="2" s="1"/>
  <c r="N238" i="2"/>
  <c r="I238" i="2" s="1"/>
  <c r="S237" i="2"/>
  <c r="I237" i="2" s="1"/>
  <c r="N236" i="2"/>
  <c r="I236" i="2" s="1"/>
  <c r="N234" i="2"/>
  <c r="I234" i="2" s="1"/>
  <c r="N233" i="2"/>
  <c r="I233" i="2" s="1"/>
  <c r="N232" i="2"/>
  <c r="I232" i="2" s="1"/>
  <c r="N230" i="2"/>
  <c r="I230" i="2" s="1"/>
  <c r="N227" i="2"/>
  <c r="I227" i="2" s="1"/>
  <c r="N226" i="2"/>
  <c r="I226" i="2" s="1"/>
  <c r="N223" i="2"/>
  <c r="I223" i="2" s="1"/>
  <c r="S222" i="2"/>
  <c r="I222" i="2" s="1"/>
  <c r="N221" i="2"/>
  <c r="I221" i="2" s="1"/>
  <c r="N220" i="2"/>
  <c r="I220" i="2" s="1"/>
  <c r="N219" i="2"/>
  <c r="I219" i="2" s="1"/>
  <c r="S217" i="2"/>
  <c r="I217" i="2" s="1"/>
  <c r="N215" i="2"/>
  <c r="I215" i="2" s="1"/>
  <c r="N214" i="2"/>
  <c r="I214" i="2" s="1"/>
  <c r="N213" i="2"/>
  <c r="I213" i="2" s="1"/>
  <c r="N212" i="2"/>
  <c r="I212" i="2" s="1"/>
  <c r="N211" i="2"/>
  <c r="I211" i="2" s="1"/>
  <c r="N210" i="2"/>
  <c r="I210" i="2" s="1"/>
  <c r="N208" i="2"/>
  <c r="I208" i="2" s="1"/>
  <c r="N207" i="2"/>
  <c r="I207" i="2" s="1"/>
  <c r="N206" i="2"/>
  <c r="I206" i="2" s="1"/>
  <c r="N204" i="2"/>
  <c r="I204" i="2" s="1"/>
  <c r="S203" i="2"/>
  <c r="I203" i="2" s="1"/>
  <c r="N202" i="2"/>
  <c r="I202" i="2" s="1"/>
  <c r="S201" i="2"/>
  <c r="I201" i="2" s="1"/>
  <c r="S200" i="2"/>
  <c r="I200" i="2" s="1"/>
  <c r="N199" i="2"/>
  <c r="I199" i="2" s="1"/>
  <c r="N198" i="2"/>
  <c r="I198" i="2" s="1"/>
  <c r="N195" i="2"/>
  <c r="I195" i="2" s="1"/>
  <c r="N194" i="2"/>
  <c r="I194" i="2" s="1"/>
  <c r="S191" i="2"/>
  <c r="I191" i="2" s="1"/>
  <c r="N188" i="2"/>
  <c r="I188" i="2" s="1"/>
  <c r="S187" i="2"/>
  <c r="I187" i="2" s="1"/>
  <c r="S186" i="2"/>
  <c r="I186" i="2" s="1"/>
  <c r="N185" i="2"/>
  <c r="I185" i="2" s="1"/>
  <c r="N181" i="2"/>
  <c r="I181" i="2" s="1"/>
  <c r="S180" i="2"/>
  <c r="I180" i="2" s="1"/>
  <c r="S179" i="2"/>
  <c r="I179" i="2" s="1"/>
  <c r="N178" i="2"/>
  <c r="I178" i="2" s="1"/>
  <c r="S177" i="2"/>
  <c r="I177" i="2" s="1"/>
  <c r="S176" i="2"/>
  <c r="I176" i="2" s="1"/>
  <c r="S175" i="2"/>
  <c r="I175" i="2" s="1"/>
  <c r="N174" i="2"/>
  <c r="I174" i="2" s="1"/>
  <c r="N173" i="2"/>
  <c r="I173" i="2" s="1"/>
  <c r="N172" i="2"/>
  <c r="I172" i="2" s="1"/>
  <c r="S171" i="2"/>
  <c r="I171" i="2" s="1"/>
  <c r="S170" i="2"/>
  <c r="I170" i="2" s="1"/>
  <c r="N169" i="2"/>
  <c r="I169" i="2" s="1"/>
  <c r="N168" i="2"/>
  <c r="I168" i="2" s="1"/>
  <c r="N167" i="2"/>
  <c r="I167" i="2" s="1"/>
  <c r="N166" i="2"/>
  <c r="I166" i="2" s="1"/>
  <c r="S165" i="2"/>
  <c r="I165" i="2" s="1"/>
  <c r="N162" i="2"/>
  <c r="I162" i="2" s="1"/>
  <c r="N160" i="2"/>
  <c r="I160" i="2" s="1"/>
  <c r="N159" i="2"/>
  <c r="I159" i="2" s="1"/>
  <c r="N156" i="2"/>
  <c r="I156" i="2" s="1"/>
  <c r="N154" i="2"/>
  <c r="I154" i="2" s="1"/>
  <c r="N153" i="2"/>
  <c r="I153" i="2" s="1"/>
  <c r="S152" i="2"/>
  <c r="I152" i="2" s="1"/>
  <c r="S151" i="2"/>
  <c r="I151" i="2" s="1"/>
  <c r="S150" i="2"/>
  <c r="I150" i="2" s="1"/>
  <c r="S149" i="2"/>
  <c r="I149" i="2" s="1"/>
  <c r="N148" i="2"/>
  <c r="I148" i="2" s="1"/>
  <c r="N147" i="2"/>
  <c r="I147" i="2" s="1"/>
  <c r="S146" i="2"/>
  <c r="I146" i="2" s="1"/>
  <c r="N144" i="2"/>
  <c r="I144" i="2" s="1"/>
  <c r="S143" i="2"/>
  <c r="I143" i="2" s="1"/>
  <c r="S142" i="2"/>
  <c r="I142" i="2" s="1"/>
  <c r="N141" i="2"/>
  <c r="I141" i="2" s="1"/>
  <c r="S139" i="2"/>
  <c r="I139" i="2" s="1"/>
  <c r="S137" i="2"/>
  <c r="I137" i="2" s="1"/>
  <c r="N136" i="2"/>
  <c r="I136" i="2" s="1"/>
  <c r="S135" i="2"/>
  <c r="I135" i="2" s="1"/>
  <c r="N134" i="2"/>
  <c r="I134" i="2" s="1"/>
  <c r="S133" i="2"/>
  <c r="I133" i="2" s="1"/>
  <c r="S131" i="2"/>
  <c r="I131" i="2" s="1"/>
  <c r="N129" i="2"/>
  <c r="I129" i="2" s="1"/>
  <c r="S126" i="2"/>
  <c r="I126" i="2" s="1"/>
  <c r="S124" i="2"/>
  <c r="I124" i="2" s="1"/>
  <c r="S123" i="2"/>
  <c r="I123" i="2" s="1"/>
  <c r="S122" i="2"/>
  <c r="I122" i="2" s="1"/>
  <c r="S119" i="2"/>
  <c r="I119" i="2" s="1"/>
  <c r="N118" i="2"/>
  <c r="I118" i="2" s="1"/>
  <c r="S117" i="2"/>
  <c r="I117" i="2" s="1"/>
  <c r="N116" i="2"/>
  <c r="I116" i="2" s="1"/>
  <c r="N115" i="2"/>
  <c r="I115" i="2" s="1"/>
  <c r="S113" i="2"/>
  <c r="I113" i="2" s="1"/>
  <c r="N112" i="2"/>
  <c r="I112" i="2" s="1"/>
  <c r="S108" i="2"/>
  <c r="I108" i="2" s="1"/>
  <c r="N107" i="2"/>
  <c r="I107" i="2" s="1"/>
  <c r="S106" i="2"/>
  <c r="I106" i="2" s="1"/>
  <c r="S104" i="2"/>
  <c r="I104" i="2" s="1"/>
  <c r="S103" i="2"/>
  <c r="I103" i="2" s="1"/>
  <c r="N101" i="2"/>
  <c r="I101" i="2" s="1"/>
  <c r="S100" i="2"/>
  <c r="I100" i="2" s="1"/>
  <c r="N98" i="2"/>
  <c r="I98" i="2" s="1"/>
  <c r="S93" i="2"/>
  <c r="I93" i="2" s="1"/>
  <c r="S92" i="2"/>
  <c r="I92" i="2" s="1"/>
  <c r="N91" i="2"/>
  <c r="I91" i="2" s="1"/>
  <c r="S90" i="2"/>
  <c r="I90" i="2" s="1"/>
  <c r="S88" i="2"/>
  <c r="I88" i="2" s="1"/>
  <c r="S85" i="2"/>
  <c r="I85" i="2" s="1"/>
  <c r="N84" i="2"/>
  <c r="I84" i="2" s="1"/>
  <c r="S83" i="2"/>
  <c r="I83" i="2" s="1"/>
  <c r="N82" i="2"/>
  <c r="I82" i="2" s="1"/>
  <c r="S81" i="2"/>
  <c r="I81" i="2" s="1"/>
  <c r="S80" i="2"/>
  <c r="I80" i="2" s="1"/>
  <c r="S79" i="2"/>
  <c r="I79" i="2" s="1"/>
  <c r="S69" i="2"/>
  <c r="I69" i="2" s="1"/>
  <c r="S68" i="2"/>
  <c r="I68" i="2" s="1"/>
  <c r="S67" i="2"/>
  <c r="I67" i="2" s="1"/>
  <c r="S64" i="2"/>
  <c r="I64" i="2" s="1"/>
  <c r="S63" i="2"/>
  <c r="I63" i="2" s="1"/>
  <c r="S62" i="2"/>
  <c r="I62" i="2" s="1"/>
  <c r="S61" i="2"/>
  <c r="I61" i="2" s="1"/>
  <c r="S60" i="2"/>
  <c r="I60" i="2" s="1"/>
  <c r="S57" i="2"/>
  <c r="I57" i="2" s="1"/>
  <c r="S56" i="2"/>
  <c r="I56" i="2" s="1"/>
  <c r="N55" i="2"/>
  <c r="I55" i="2" s="1"/>
  <c r="N54" i="2"/>
  <c r="I54" i="2" s="1"/>
  <c r="S53" i="2"/>
  <c r="I53" i="2" s="1"/>
  <c r="S52" i="2"/>
  <c r="I52" i="2" s="1"/>
  <c r="S50" i="2"/>
  <c r="I50" i="2" s="1"/>
  <c r="N48" i="2"/>
  <c r="I48" i="2" s="1"/>
  <c r="S47" i="2"/>
  <c r="I47" i="2" s="1"/>
  <c r="N46" i="2"/>
  <c r="I46" i="2" s="1"/>
  <c r="J44" i="2"/>
  <c r="I44" i="2" s="1"/>
  <c r="N43" i="2"/>
  <c r="I43" i="2" s="1"/>
  <c r="N42" i="2"/>
  <c r="I42" i="2" s="1"/>
  <c r="S41" i="2"/>
  <c r="I41" i="2" s="1"/>
  <c r="S40" i="2"/>
  <c r="I40" i="2" s="1"/>
  <c r="N39" i="2"/>
  <c r="I39" i="2" s="1"/>
  <c r="S38" i="2"/>
  <c r="I38" i="2" s="1"/>
  <c r="N36" i="2"/>
  <c r="I36" i="2" s="1"/>
  <c r="N34" i="2"/>
  <c r="I34" i="2" s="1"/>
  <c r="N32" i="2"/>
  <c r="I32" i="2" s="1"/>
  <c r="N29" i="2"/>
  <c r="I29" i="2" s="1"/>
  <c r="S28" i="2"/>
  <c r="I28" i="2" s="1"/>
  <c r="N26" i="2"/>
  <c r="I26" i="2" s="1"/>
  <c r="S25" i="2"/>
  <c r="I25" i="2" s="1"/>
  <c r="N24" i="2"/>
  <c r="I24" i="2" s="1"/>
  <c r="N23" i="2"/>
  <c r="I23" i="2" s="1"/>
  <c r="N22" i="2"/>
  <c r="I22" i="2" s="1"/>
  <c r="S21" i="2"/>
  <c r="I21" i="2" s="1"/>
  <c r="N20" i="2"/>
  <c r="I20" i="2" s="1"/>
  <c r="S19" i="2"/>
  <c r="I19" i="2" s="1"/>
  <c r="J14" i="2"/>
  <c r="I14" i="2" s="1"/>
  <c r="J13" i="2"/>
  <c r="I13" i="2" s="1"/>
  <c r="J12" i="2"/>
  <c r="I12" i="2" s="1"/>
  <c r="J11" i="2"/>
  <c r="I11" i="2" s="1"/>
  <c r="J9" i="2"/>
  <c r="I9" i="2" s="1"/>
  <c r="L7" i="2"/>
  <c r="J6" i="2"/>
  <c r="I6" i="2" s="1"/>
  <c r="J5" i="2"/>
  <c r="I5" i="2" s="1"/>
  <c r="I304" i="2" l="1"/>
  <c r="L4" i="2"/>
  <c r="I7" i="2"/>
  <c r="S4" i="2"/>
  <c r="N4" i="2"/>
  <c r="J4" i="2"/>
  <c r="I4" i="2" l="1"/>
</calcChain>
</file>

<file path=xl/sharedStrings.xml><?xml version="1.0" encoding="utf-8"?>
<sst xmlns="http://schemas.openxmlformats.org/spreadsheetml/2006/main" count="2934" uniqueCount="1456">
  <si>
    <t>일련
번호</t>
    <phoneticPr fontId="2" type="noConversion"/>
  </si>
  <si>
    <t>1. 기본사항</t>
    <phoneticPr fontId="2" type="noConversion"/>
  </si>
  <si>
    <t>2. 자전거도로 현황</t>
    <phoneticPr fontId="2" type="noConversion"/>
  </si>
  <si>
    <t>노선명</t>
    <phoneticPr fontId="2" type="noConversion"/>
  </si>
  <si>
    <t>종점</t>
    <phoneticPr fontId="2" type="noConversion"/>
  </si>
  <si>
    <t>전용도로(a)</t>
    <phoneticPr fontId="2" type="noConversion"/>
  </si>
  <si>
    <t>분리형 겸용도로(d)</t>
    <phoneticPr fontId="2" type="noConversion"/>
  </si>
  <si>
    <t>비분리형 겸용도로(e)</t>
    <phoneticPr fontId="2" type="noConversion"/>
  </si>
  <si>
    <t>폭원
(m)</t>
    <phoneticPr fontId="2" type="noConversion"/>
  </si>
  <si>
    <t>도로
폭원
(m)</t>
    <phoneticPr fontId="2" type="noConversion"/>
  </si>
  <si>
    <t>1순환로</t>
  </si>
  <si>
    <t>2순환로</t>
  </si>
  <si>
    <t>사직대로</t>
  </si>
  <si>
    <t>산업단지육거리</t>
  </si>
  <si>
    <t>직지대로</t>
  </si>
  <si>
    <t>서부로</t>
  </si>
  <si>
    <t>개신오거리</t>
  </si>
  <si>
    <t>무심서로</t>
  </si>
  <si>
    <t>무심동로</t>
  </si>
  <si>
    <t>청남로</t>
  </si>
  <si>
    <t>단재로</t>
  </si>
  <si>
    <t>사운로</t>
  </si>
  <si>
    <t>운천신봉동주민센터</t>
  </si>
  <si>
    <t>공단로</t>
  </si>
  <si>
    <t>복대로</t>
  </si>
  <si>
    <t>교서로</t>
  </si>
  <si>
    <t>남사로</t>
  </si>
  <si>
    <t>남사교</t>
  </si>
  <si>
    <t>대성로</t>
  </si>
  <si>
    <t>중앙로</t>
  </si>
  <si>
    <t>향군로</t>
  </si>
  <si>
    <t>흥덕로</t>
  </si>
  <si>
    <t>풍산로</t>
  </si>
  <si>
    <t>발산교</t>
  </si>
  <si>
    <t>호국로</t>
  </si>
  <si>
    <t>모충로</t>
  </si>
  <si>
    <t>공항로</t>
  </si>
  <si>
    <t>풍년로</t>
  </si>
  <si>
    <t>예체로</t>
  </si>
  <si>
    <t>시계탑오거리</t>
  </si>
  <si>
    <t>월평로</t>
  </si>
  <si>
    <t>용암사거리</t>
  </si>
  <si>
    <t>백봉로</t>
  </si>
  <si>
    <t>대신로</t>
  </si>
  <si>
    <t>대신로146번길</t>
  </si>
  <si>
    <t>산단로</t>
  </si>
  <si>
    <t>죽천로</t>
  </si>
  <si>
    <t>증안로</t>
  </si>
  <si>
    <t>신율로</t>
  </si>
  <si>
    <t>성봉로</t>
  </si>
  <si>
    <t>대림로</t>
  </si>
  <si>
    <t>새터로</t>
  </si>
  <si>
    <t>안덕벌로</t>
  </si>
  <si>
    <t>내덕로</t>
  </si>
  <si>
    <t>사북로</t>
  </si>
  <si>
    <t>창직로</t>
  </si>
  <si>
    <t>수영로</t>
  </si>
  <si>
    <t>수영교</t>
  </si>
  <si>
    <t>남중삼거리</t>
  </si>
  <si>
    <t>호미로</t>
  </si>
  <si>
    <t>중고개로</t>
  </si>
  <si>
    <t>용암로</t>
  </si>
  <si>
    <t>원봉로</t>
  </si>
  <si>
    <t>무농정로</t>
  </si>
  <si>
    <t>율천북로</t>
  </si>
  <si>
    <t>월명로</t>
  </si>
  <si>
    <t>청주역로</t>
  </si>
  <si>
    <t>장전로</t>
  </si>
  <si>
    <t>구룡산로</t>
  </si>
  <si>
    <t>진재로</t>
  </si>
  <si>
    <t>솔밭공원</t>
  </si>
  <si>
    <t>서현로</t>
  </si>
  <si>
    <t>두꺼비로</t>
  </si>
  <si>
    <t>원흥로</t>
  </si>
  <si>
    <t>산남로</t>
  </si>
  <si>
    <t>산남중학교</t>
  </si>
  <si>
    <t>신성화로</t>
  </si>
  <si>
    <t>율량로</t>
  </si>
  <si>
    <t>기점</t>
    <phoneticPr fontId="2" type="noConversion"/>
  </si>
  <si>
    <t>지번</t>
    <phoneticPr fontId="1" type="noConversion"/>
  </si>
  <si>
    <t>주요경유지</t>
    <phoneticPr fontId="1" type="noConversion"/>
  </si>
  <si>
    <t>시설물,
교차로명</t>
    <phoneticPr fontId="1" type="noConversion"/>
  </si>
  <si>
    <t>충청대로 270</t>
  </si>
  <si>
    <t>율량동 487-50</t>
  </si>
  <si>
    <t>내덕동 186-1</t>
  </si>
  <si>
    <t>분평로 99</t>
  </si>
  <si>
    <t>1순환로1063번길 44</t>
  </si>
  <si>
    <t>분평동 1203</t>
  </si>
  <si>
    <t>1순환로 1105</t>
  </si>
  <si>
    <t>분평로 32</t>
  </si>
  <si>
    <t>1순환로1107번길 42</t>
  </si>
  <si>
    <t>분평동 대상학원</t>
    <phoneticPr fontId="1" type="noConversion"/>
  </si>
  <si>
    <t>다이소 청주 분평점</t>
    <phoneticPr fontId="1" type="noConversion"/>
  </si>
  <si>
    <t>1순환로 1109</t>
  </si>
  <si>
    <t>GS25 청주 명인점</t>
    <phoneticPr fontId="1" type="noConversion"/>
  </si>
  <si>
    <t>1순환로1063번길</t>
    <phoneticPr fontId="1" type="noConversion"/>
  </si>
  <si>
    <t>1순환로1063번길 129</t>
  </si>
  <si>
    <t>1순환로 1059</t>
  </si>
  <si>
    <t>해담(식당)</t>
    <phoneticPr fontId="1" type="noConversion"/>
  </si>
  <si>
    <t>호미로</t>
    <phoneticPr fontId="1" type="noConversion"/>
  </si>
  <si>
    <t>용정동 1094</t>
  </si>
  <si>
    <t>운암1교</t>
    <phoneticPr fontId="1" type="noConversion"/>
  </si>
  <si>
    <t>금천중학교</t>
    <phoneticPr fontId="1" type="noConversion"/>
  </si>
  <si>
    <t>용암북로</t>
    <phoneticPr fontId="1" type="noConversion"/>
  </si>
  <si>
    <t>용정 제3교</t>
    <phoneticPr fontId="1" type="noConversion"/>
  </si>
  <si>
    <t>상당로</t>
    <phoneticPr fontId="1" type="noConversion"/>
  </si>
  <si>
    <t>상당로 4-2</t>
  </si>
  <si>
    <t>명암로</t>
    <phoneticPr fontId="1" type="noConversion"/>
  </si>
  <si>
    <t>우암어린이회관</t>
    <phoneticPr fontId="1" type="noConversion"/>
  </si>
  <si>
    <t>용담동 428</t>
  </si>
  <si>
    <t>명암로 171</t>
  </si>
  <si>
    <t>오산리 374-13</t>
  </si>
  <si>
    <t>오산3길 8-2</t>
  </si>
  <si>
    <t>옥산 생활체육공원</t>
    <phoneticPr fontId="1" type="noConversion"/>
  </si>
  <si>
    <t>목련로 60</t>
  </si>
  <si>
    <t>직지대로</t>
    <phoneticPr fontId="1" type="noConversion"/>
  </si>
  <si>
    <t>강촌로 297</t>
  </si>
  <si>
    <t>정봉동 36-7</t>
  </si>
  <si>
    <t>청주역</t>
    <phoneticPr fontId="1" type="noConversion"/>
  </si>
  <si>
    <t>서청주IC삼거리</t>
    <phoneticPr fontId="1" type="noConversion"/>
  </si>
  <si>
    <t>지동동 411-7</t>
  </si>
  <si>
    <t>직지대로240번길 7</t>
  </si>
  <si>
    <t>솔밭공원</t>
    <phoneticPr fontId="1" type="noConversion"/>
  </si>
  <si>
    <t>고인쇄박물관사거리</t>
    <phoneticPr fontId="1" type="noConversion"/>
  </si>
  <si>
    <t>직지대로 713</t>
  </si>
  <si>
    <t>상당로 263</t>
  </si>
  <si>
    <t>흥덕대교</t>
    <phoneticPr fontId="1" type="noConversion"/>
  </si>
  <si>
    <t>직지대로 890</t>
  </si>
  <si>
    <t>상당로 257</t>
  </si>
  <si>
    <t>구룡산로</t>
    <phoneticPr fontId="1" type="noConversion"/>
  </si>
  <si>
    <t>개신성화사거리</t>
    <phoneticPr fontId="1" type="noConversion"/>
  </si>
  <si>
    <t>서부로 1344</t>
  </si>
  <si>
    <t>산남사거리</t>
    <phoneticPr fontId="1" type="noConversion"/>
  </si>
  <si>
    <t>구룡산로 225</t>
  </si>
  <si>
    <t>구룡산로 379-1</t>
  </si>
  <si>
    <t>구룡터널</t>
    <phoneticPr fontId="1" type="noConversion"/>
  </si>
  <si>
    <t>수곡1동주민센터</t>
    <phoneticPr fontId="1" type="noConversion"/>
  </si>
  <si>
    <t>구룡산로 225</t>
    <phoneticPr fontId="1" type="noConversion"/>
  </si>
  <si>
    <t>가로수로</t>
    <phoneticPr fontId="1" type="noConversion"/>
  </si>
  <si>
    <t>가로수로 1386</t>
  </si>
  <si>
    <t>사직대로</t>
    <phoneticPr fontId="1" type="noConversion"/>
  </si>
  <si>
    <t>사직대로 8</t>
  </si>
  <si>
    <t>사창사거리</t>
    <phoneticPr fontId="1" type="noConversion"/>
  </si>
  <si>
    <t>석곡동 281-10</t>
  </si>
  <si>
    <t>서부로 1510</t>
  </si>
  <si>
    <t>증안로 9</t>
  </si>
  <si>
    <t>증안로 107</t>
  </si>
  <si>
    <t>공항로 89</t>
  </si>
  <si>
    <t>주중동 1068</t>
  </si>
  <si>
    <t>산단로 244</t>
  </si>
  <si>
    <t>복대동 111</t>
  </si>
  <si>
    <t>산단로 124</t>
  </si>
  <si>
    <t>분평지구대</t>
    <phoneticPr fontId="1" type="noConversion"/>
  </si>
  <si>
    <t>남성중학교 후문</t>
    <phoneticPr fontId="1" type="noConversion"/>
  </si>
  <si>
    <t>용담동 436</t>
    <phoneticPr fontId="1" type="noConversion"/>
  </si>
  <si>
    <t>용암동 2175</t>
    <phoneticPr fontId="1" type="noConversion"/>
  </si>
  <si>
    <t>개성해장국</t>
    <phoneticPr fontId="1" type="noConversion"/>
  </si>
  <si>
    <t>충북도청</t>
    <phoneticPr fontId="1" type="noConversion"/>
  </si>
  <si>
    <t>명암저수지</t>
    <phoneticPr fontId="1" type="noConversion"/>
  </si>
  <si>
    <t>목련로62번길</t>
    <phoneticPr fontId="1" type="noConversion"/>
  </si>
  <si>
    <t>지북동 산14-7</t>
    <phoneticPr fontId="1" type="noConversion"/>
  </si>
  <si>
    <t>상수도사업본부</t>
    <phoneticPr fontId="1" type="noConversion"/>
  </si>
  <si>
    <t>신봉동 347-3</t>
    <phoneticPr fontId="1" type="noConversion"/>
  </si>
  <si>
    <t>사직동 755</t>
    <phoneticPr fontId="1" type="noConversion"/>
  </si>
  <si>
    <t>가로수로1164번길 3</t>
    <phoneticPr fontId="1" type="noConversion"/>
  </si>
  <si>
    <t>복대동 2843</t>
    <phoneticPr fontId="1" type="noConversion"/>
  </si>
  <si>
    <t>터미널사거리</t>
    <phoneticPr fontId="1" type="noConversion"/>
  </si>
  <si>
    <t>복대동 449-5</t>
    <phoneticPr fontId="1" type="noConversion"/>
  </si>
  <si>
    <t>복대동 417</t>
    <phoneticPr fontId="1" type="noConversion"/>
  </si>
  <si>
    <t>충북지방조달청</t>
    <phoneticPr fontId="1" type="noConversion"/>
  </si>
  <si>
    <t>충북지방조달청 버스정류장</t>
    <phoneticPr fontId="1" type="noConversion"/>
  </si>
  <si>
    <t>사직동 583-41</t>
    <phoneticPr fontId="1" type="noConversion"/>
  </si>
  <si>
    <t>사직동 590-6</t>
    <phoneticPr fontId="1" type="noConversion"/>
  </si>
  <si>
    <t>사직동 584-104</t>
    <phoneticPr fontId="1" type="noConversion"/>
  </si>
  <si>
    <t>사직동 235-16</t>
  </si>
  <si>
    <t>성화동 534</t>
  </si>
  <si>
    <t>청주예술의전당</t>
    <phoneticPr fontId="1" type="noConversion"/>
  </si>
  <si>
    <t>청렴연수원사거리</t>
    <phoneticPr fontId="1" type="noConversion"/>
  </si>
  <si>
    <t>옥산생활체육공원</t>
    <phoneticPr fontId="1" type="noConversion"/>
  </si>
  <si>
    <t>석교육거리</t>
    <phoneticPr fontId="1" type="noConversion"/>
  </si>
  <si>
    <t>강서1동주민센터</t>
    <phoneticPr fontId="1" type="noConversion"/>
  </si>
  <si>
    <t>산업단지육거리</t>
    <phoneticPr fontId="1" type="noConversion"/>
  </si>
  <si>
    <t>국지도32호선</t>
  </si>
  <si>
    <t>금강자전거길</t>
  </si>
  <si>
    <t>청대사거리</t>
    <phoneticPr fontId="1" type="noConversion"/>
  </si>
  <si>
    <t>무심서로</t>
    <phoneticPr fontId="1" type="noConversion"/>
  </si>
  <si>
    <t>그랜드플라자청주호텔</t>
    <phoneticPr fontId="1" type="noConversion"/>
  </si>
  <si>
    <t>1순환로</t>
    <phoneticPr fontId="1" type="noConversion"/>
  </si>
  <si>
    <t>용담로</t>
  </si>
  <si>
    <t>용담로</t>
    <phoneticPr fontId="1" type="noConversion"/>
  </si>
  <si>
    <t>옥산가좌로</t>
    <phoneticPr fontId="1" type="noConversion"/>
  </si>
  <si>
    <t>목련로</t>
    <phoneticPr fontId="1" type="noConversion"/>
  </si>
  <si>
    <t>직지대로 240번길</t>
    <phoneticPr fontId="1" type="noConversion"/>
  </si>
  <si>
    <t>상당로 251번길</t>
    <phoneticPr fontId="1" type="noConversion"/>
  </si>
  <si>
    <t>가포산로 3</t>
    <phoneticPr fontId="1" type="noConversion"/>
  </si>
  <si>
    <t>운동장삼거리</t>
    <phoneticPr fontId="1" type="noConversion"/>
  </si>
  <si>
    <t>흥덕로</t>
    <phoneticPr fontId="1" type="noConversion"/>
  </si>
  <si>
    <t>고은리 461-2</t>
  </si>
  <si>
    <t>문의면 미천리 675-35</t>
  </si>
  <si>
    <t>문의면 미천리 산 3-9</t>
  </si>
  <si>
    <t>문의면 괴곡리 152</t>
  </si>
  <si>
    <t>현도면 노산리 960-1</t>
  </si>
  <si>
    <t>현도면 노산리 416</t>
  </si>
  <si>
    <t>주성로</t>
  </si>
  <si>
    <t>현도면 양지리 산 48-5</t>
  </si>
  <si>
    <t>현도면 시목리 592-1</t>
  </si>
  <si>
    <t>미원면 미원리 480-3</t>
  </si>
  <si>
    <t>미원면 쌍이리 293</t>
  </si>
  <si>
    <t>정봉동 37-14</t>
  </si>
  <si>
    <t>강내면 월곡리 167-4</t>
  </si>
  <si>
    <t>청주역로 231</t>
  </si>
  <si>
    <t>2순환로273번길</t>
  </si>
  <si>
    <t>율량로32번길</t>
  </si>
  <si>
    <t>사뜸로</t>
  </si>
  <si>
    <t>공항로84번길</t>
  </si>
  <si>
    <t>1순환로330번길</t>
  </si>
  <si>
    <t>단재로 5</t>
  </si>
  <si>
    <t>단재로 383</t>
  </si>
  <si>
    <t>율량동 167-2</t>
  </si>
  <si>
    <t>상당로70번길</t>
  </si>
  <si>
    <t>산남동 318-5</t>
  </si>
  <si>
    <t>1순환로 702</t>
  </si>
  <si>
    <t>1순환로 621</t>
  </si>
  <si>
    <t>상당로143번길</t>
  </si>
  <si>
    <t>주중동 588-2</t>
  </si>
  <si>
    <t>복대동 626-72</t>
  </si>
  <si>
    <t>2순환로 1100-1</t>
  </si>
  <si>
    <t>복대동 2834</t>
  </si>
  <si>
    <t>비하동 201-4</t>
  </si>
  <si>
    <t>비하동 220-14</t>
  </si>
  <si>
    <t>교동로</t>
  </si>
  <si>
    <t>산성로</t>
  </si>
  <si>
    <t>용정로12번길</t>
  </si>
  <si>
    <t>가장로 404</t>
  </si>
  <si>
    <t>청남로2005번길</t>
  </si>
  <si>
    <t>평촌동 238-2</t>
  </si>
  <si>
    <t>0.산남주공4단지 안 도로</t>
  </si>
  <si>
    <t>0.산남주공2단지 남쪽도로</t>
  </si>
  <si>
    <t>산미로</t>
  </si>
  <si>
    <t>사운로262번길 48</t>
  </si>
  <si>
    <t>사직동 72-2</t>
  </si>
  <si>
    <t>무심서로 509</t>
  </si>
  <si>
    <t>구룡산로52번길</t>
  </si>
  <si>
    <t>분평동 492</t>
  </si>
  <si>
    <t>수곡동 27</t>
  </si>
  <si>
    <t>무심동로 652</t>
  </si>
  <si>
    <t>무심동로 498</t>
  </si>
  <si>
    <t>영동 29</t>
  </si>
  <si>
    <t>무심동로 466</t>
  </si>
  <si>
    <t>석교동 24-14</t>
  </si>
  <si>
    <t>석교동 120-16</t>
  </si>
  <si>
    <t>미평동 133-1</t>
  </si>
  <si>
    <t>청남로 1923</t>
  </si>
  <si>
    <t>청남로 1891</t>
  </si>
  <si>
    <t>청남로 1877</t>
  </si>
  <si>
    <t>남이면 가마리 11-14</t>
  </si>
  <si>
    <t>남이면 가마리 34-3</t>
  </si>
  <si>
    <t>남이면 가마리 32</t>
  </si>
  <si>
    <t>미평동 122-15</t>
  </si>
  <si>
    <t>청남로 1848</t>
  </si>
  <si>
    <t>사운로 402</t>
  </si>
  <si>
    <t>사운로 169-1</t>
  </si>
  <si>
    <t>사운로 32</t>
  </si>
  <si>
    <t>사천동 518-7</t>
  </si>
  <si>
    <t>율량동 2519</t>
  </si>
  <si>
    <t>율량로3번길 41</t>
  </si>
  <si>
    <t>주성로 222</t>
  </si>
  <si>
    <t>주성로233번길 8-2</t>
  </si>
  <si>
    <t>주성로 263</t>
  </si>
  <si>
    <t>주성로 297</t>
  </si>
  <si>
    <t>율량로 4</t>
  </si>
  <si>
    <t>창직로32번길</t>
  </si>
  <si>
    <t>1순환로512번길</t>
  </si>
  <si>
    <t>1순환로438번길</t>
  </si>
  <si>
    <t>송절로</t>
  </si>
  <si>
    <t>주성로 207</t>
  </si>
  <si>
    <t>율량로 34</t>
  </si>
  <si>
    <t>공항로 122</t>
  </si>
  <si>
    <t>율봉로 300</t>
  </si>
  <si>
    <t>율봉로 102</t>
  </si>
  <si>
    <t>사뜸로 14</t>
  </si>
  <si>
    <t>공항로 94</t>
  </si>
  <si>
    <t>율천북로 193</t>
  </si>
  <si>
    <t>내덕동 788-44</t>
  </si>
  <si>
    <t>1순환로197번길 2</t>
  </si>
  <si>
    <t>1순환로 332</t>
  </si>
  <si>
    <t>향군로 168-1</t>
  </si>
  <si>
    <t>향군로 86</t>
  </si>
  <si>
    <t>향군로 2</t>
  </si>
  <si>
    <t>향군로 51</t>
  </si>
  <si>
    <t>향군로 39</t>
  </si>
  <si>
    <t>향군로 1</t>
  </si>
  <si>
    <t>새터로 101</t>
  </si>
  <si>
    <t>월명로235번길</t>
  </si>
  <si>
    <t>월명로201번길</t>
  </si>
  <si>
    <t>내덕로 3</t>
  </si>
  <si>
    <t>내덕동 290-9</t>
  </si>
  <si>
    <t>안덕벌로 37-1</t>
  </si>
  <si>
    <t>교서로 254</t>
  </si>
  <si>
    <t>교서로 97</t>
  </si>
  <si>
    <t>대성로 103</t>
  </si>
  <si>
    <t>북문로3가 8-10</t>
  </si>
  <si>
    <t>흥덕로 70</t>
  </si>
  <si>
    <t>상당로143번길 16</t>
  </si>
  <si>
    <t>사북로 142-1</t>
  </si>
  <si>
    <t>상당로143번길 3</t>
  </si>
  <si>
    <t>구법원사거리</t>
  </si>
  <si>
    <t>용담로 19</t>
  </si>
  <si>
    <t>용담로 28-2</t>
  </si>
  <si>
    <t>용담로 48-1</t>
  </si>
  <si>
    <t>당산로</t>
  </si>
  <si>
    <t>용담로 102</t>
  </si>
  <si>
    <t>용담로104번길</t>
  </si>
  <si>
    <t>산성로 119</t>
  </si>
  <si>
    <t>용담동 160-21</t>
  </si>
  <si>
    <t>명암로</t>
  </si>
  <si>
    <t>산성로50번길 1</t>
  </si>
  <si>
    <t>산성로50번길</t>
  </si>
  <si>
    <t>용정동 1272</t>
  </si>
  <si>
    <t>용정로38번길 37</t>
  </si>
  <si>
    <t>용정로38번길</t>
  </si>
  <si>
    <t>청남로 2044</t>
  </si>
  <si>
    <t>중고개로 311</t>
  </si>
  <si>
    <t>수영로 349</t>
  </si>
  <si>
    <t>용담동 308-11</t>
  </si>
  <si>
    <t>용정동 467-17</t>
  </si>
  <si>
    <t>용정동 산 136-7</t>
  </si>
  <si>
    <t>산성로92번길 6</t>
  </si>
  <si>
    <t>용암지하차도사거리</t>
  </si>
  <si>
    <t>용정동 337-18</t>
  </si>
  <si>
    <t>용암동 1414</t>
  </si>
  <si>
    <t>월평로253번길</t>
  </si>
  <si>
    <t>월평로 252</t>
  </si>
  <si>
    <t>분평농협사거리</t>
  </si>
  <si>
    <t>분평동 343-2</t>
  </si>
  <si>
    <t>청남로 2003</t>
  </si>
  <si>
    <t>매봉로</t>
  </si>
  <si>
    <t>구룡산로 291</t>
  </si>
  <si>
    <t>매봉로 109</t>
  </si>
  <si>
    <t>수곡동 236-14</t>
  </si>
  <si>
    <t>산남주공2단지 놀이터 맞은편</t>
  </si>
  <si>
    <t>청남로 1827-30</t>
  </si>
  <si>
    <t>청남로 1827-40</t>
  </si>
  <si>
    <t>산남동 1205</t>
  </si>
  <si>
    <t>2순환로 1687</t>
  </si>
  <si>
    <t>산미로삼거리</t>
  </si>
  <si>
    <t>원흥로 3</t>
  </si>
  <si>
    <t>원흥로 102</t>
  </si>
  <si>
    <t>산남2사거리</t>
  </si>
  <si>
    <t>산남동 1197</t>
  </si>
  <si>
    <t>산남로 85</t>
  </si>
  <si>
    <t>두꺼비로70번길 115</t>
  </si>
  <si>
    <t>산남고등학교</t>
  </si>
  <si>
    <t>개신동 72-5</t>
  </si>
  <si>
    <t>성화동 17-1</t>
  </si>
  <si>
    <t>서부로 1358</t>
  </si>
  <si>
    <t>신성화로 33</t>
  </si>
  <si>
    <t>충대정문오거리</t>
  </si>
  <si>
    <t>내수동로 46</t>
  </si>
  <si>
    <t>성봉로 209</t>
  </si>
  <si>
    <t>성화사거리</t>
  </si>
  <si>
    <t>성봉로 155</t>
  </si>
  <si>
    <t>성화동 636</t>
  </si>
  <si>
    <t>사리골어린이공원</t>
  </si>
  <si>
    <t>성화동 284-2</t>
  </si>
  <si>
    <t>구룡산로52번길 2</t>
  </si>
  <si>
    <t>죽림동 435</t>
  </si>
  <si>
    <t>성화동 1033</t>
  </si>
  <si>
    <t>월천1교사거리</t>
  </si>
  <si>
    <t>죽림동428</t>
  </si>
  <si>
    <t>죽림동 427-2</t>
  </si>
  <si>
    <t>개신동 458-4</t>
  </si>
  <si>
    <t>개신동 437-4</t>
  </si>
  <si>
    <t>모충고개삼거리</t>
  </si>
  <si>
    <t>병무청사거리</t>
  </si>
  <si>
    <t>무심서로 453</t>
  </si>
  <si>
    <t>푸르지오캐슬 403동</t>
  </si>
  <si>
    <t>창직로 30</t>
  </si>
  <si>
    <t>사직동 630-8</t>
  </si>
  <si>
    <t>예체로29번길</t>
  </si>
  <si>
    <t>창직로 50</t>
  </si>
  <si>
    <t>사창동 316-150</t>
  </si>
  <si>
    <t>푸르지오캐슬108동</t>
  </si>
  <si>
    <t>충렬로 74</t>
  </si>
  <si>
    <t>예술의전당삼거리</t>
  </si>
  <si>
    <t>직지대로 680</t>
  </si>
  <si>
    <t>예체로 107</t>
  </si>
  <si>
    <t>사직대로 192</t>
  </si>
  <si>
    <t>모충동 540-1</t>
  </si>
  <si>
    <t>흥덕로 178-1</t>
  </si>
  <si>
    <t>새힘교회</t>
  </si>
  <si>
    <t>사운로 216</t>
  </si>
  <si>
    <t>운천동 928</t>
  </si>
  <si>
    <t>운천동 913</t>
  </si>
  <si>
    <t>직지소공원</t>
  </si>
  <si>
    <t>흥덕초등학교</t>
  </si>
  <si>
    <t>흥덕로 69</t>
  </si>
  <si>
    <t>고인쇄박물관사거리</t>
  </si>
  <si>
    <t>사직동 576-3</t>
  </si>
  <si>
    <t>흥덕로 36</t>
  </si>
  <si>
    <t>청주종합경기장</t>
  </si>
  <si>
    <t>사직동 810</t>
  </si>
  <si>
    <t>한벌초등학교</t>
  </si>
  <si>
    <t>봉명지구대</t>
  </si>
  <si>
    <t>과상미로 90</t>
  </si>
  <si>
    <t>봉명동 2251</t>
  </si>
  <si>
    <t>신봉동 193</t>
  </si>
  <si>
    <t>사운로341번길</t>
  </si>
  <si>
    <t>신봉동 140</t>
  </si>
  <si>
    <t>백제유물전시관</t>
  </si>
  <si>
    <t>향정동 9-6</t>
  </si>
  <si>
    <t>월명로 157</t>
  </si>
  <si>
    <t>월명공원사거리</t>
  </si>
  <si>
    <t>송절동 419-1</t>
  </si>
  <si>
    <t>충청에너지서비스</t>
  </si>
  <si>
    <t>송절교차로</t>
  </si>
  <si>
    <t>봉명동 404</t>
  </si>
  <si>
    <t>송절로 20</t>
  </si>
  <si>
    <t>봉명동 379-24</t>
  </si>
  <si>
    <t>봉명동 379-2</t>
  </si>
  <si>
    <t>흥덕경찰서</t>
  </si>
  <si>
    <t>오리온 청주공장</t>
  </si>
  <si>
    <t>철탑사거리</t>
  </si>
  <si>
    <t>충대사거리</t>
  </si>
  <si>
    <t>월명로 37</t>
  </si>
  <si>
    <t>사직대로 49</t>
  </si>
  <si>
    <t>산단로 202</t>
  </si>
  <si>
    <t>월명로 195</t>
  </si>
  <si>
    <t>외북동 105-29</t>
  </si>
  <si>
    <t>죽천교사거리</t>
  </si>
  <si>
    <t>복대동 3075</t>
  </si>
  <si>
    <t>산단로 149</t>
  </si>
  <si>
    <t>백봉로 70</t>
  </si>
  <si>
    <t>송정동 140-6</t>
  </si>
  <si>
    <t>대신로 140</t>
  </si>
  <si>
    <t>산단로 113</t>
  </si>
  <si>
    <t>대신로164번길</t>
  </si>
  <si>
    <t>송정동 140-16</t>
  </si>
  <si>
    <t>송정동 140-51</t>
  </si>
  <si>
    <t>대신로 154</t>
  </si>
  <si>
    <t>송정동 140-34</t>
  </si>
  <si>
    <t>행정동 148</t>
  </si>
  <si>
    <t>대신로 157</t>
  </si>
  <si>
    <t>2순환로971번길</t>
  </si>
  <si>
    <t>송정동 140-61</t>
  </si>
  <si>
    <t>송정동 312-1</t>
  </si>
  <si>
    <t>0.봉명동 450, 봉명동 37-21 사이 길</t>
  </si>
  <si>
    <t>0.셀트리온제약, 에코프로 사잇길</t>
  </si>
  <si>
    <t>0.가경천서쪽길(죽천교~초원주차장)</t>
  </si>
  <si>
    <t>흥덕고등학교</t>
  </si>
  <si>
    <t>가경동 1542-2</t>
  </si>
  <si>
    <t>복대로27번길</t>
  </si>
  <si>
    <t>복대로17번길</t>
  </si>
  <si>
    <t>짐대로 2</t>
  </si>
  <si>
    <t>2순환로1167번길 5</t>
  </si>
  <si>
    <t>할리스커피 청주하복대점</t>
  </si>
  <si>
    <t>짐대로</t>
  </si>
  <si>
    <t>짐대로 21</t>
  </si>
  <si>
    <t>진재로 49</t>
  </si>
  <si>
    <t>복대동 산 6-2</t>
  </si>
  <si>
    <t>복대동 231-9</t>
  </si>
  <si>
    <t>복대가경시장사거리</t>
  </si>
  <si>
    <t>복대로 138-1</t>
  </si>
  <si>
    <t>가경사거리</t>
  </si>
  <si>
    <t>가경동 1546-1</t>
  </si>
  <si>
    <t>복대로 31</t>
  </si>
  <si>
    <t>사직대로350번길</t>
  </si>
  <si>
    <t>신화로</t>
  </si>
  <si>
    <t>남지로</t>
  </si>
  <si>
    <t>용평로</t>
  </si>
  <si>
    <t>산성로116번길</t>
  </si>
  <si>
    <t>0.동주초등학교,장자마을8단지 사이 도로</t>
  </si>
  <si>
    <t>복대로 34</t>
  </si>
  <si>
    <t>개신성화사거리</t>
  </si>
  <si>
    <t>개신동 712</t>
  </si>
  <si>
    <t>청주농협개신지점</t>
  </si>
  <si>
    <t>폴리텍대사거리</t>
  </si>
  <si>
    <t>복대동 85-2</t>
  </si>
  <si>
    <t>송정동 36-149</t>
  </si>
  <si>
    <t>복대동 870-7</t>
  </si>
  <si>
    <t>충대로 2</t>
  </si>
  <si>
    <t>내수동로 117-1</t>
  </si>
  <si>
    <t>신율로 122</t>
  </si>
  <si>
    <t>풍산로 153</t>
  </si>
  <si>
    <t>복대초교입구삼거리</t>
  </si>
  <si>
    <t>풍산로 180-1</t>
  </si>
  <si>
    <t>0.용암중학교, 교동초등학교 사이 보도</t>
  </si>
  <si>
    <t>강서지구사거리</t>
  </si>
  <si>
    <t>경산로 1</t>
  </si>
  <si>
    <t>가경동 1545-2</t>
  </si>
  <si>
    <t>서부소방서사거리</t>
  </si>
  <si>
    <t>가경로 140</t>
  </si>
  <si>
    <t>가경동 1577</t>
  </si>
  <si>
    <t>감나무실공원</t>
  </si>
  <si>
    <t>풍년로 69</t>
  </si>
  <si>
    <t>서부로 1291</t>
  </si>
  <si>
    <t>가경동 1684</t>
  </si>
  <si>
    <t>가경로 9-2</t>
  </si>
  <si>
    <t>가경로</t>
  </si>
  <si>
    <t>가경동 1738</t>
  </si>
  <si>
    <t>가경동 1694</t>
  </si>
  <si>
    <t>농업기술센터앞</t>
  </si>
  <si>
    <t>강서동 190-2</t>
  </si>
  <si>
    <t>강서로 126</t>
  </si>
  <si>
    <t>시외버스터미널사거리</t>
  </si>
  <si>
    <t>강서동 262-9</t>
  </si>
  <si>
    <t>석곡사거리</t>
  </si>
  <si>
    <t>석곡동 282-4</t>
  </si>
  <si>
    <t>강서동 190-1</t>
  </si>
  <si>
    <t>가경동 352-27</t>
  </si>
  <si>
    <t>서현중사거리</t>
  </si>
  <si>
    <t>서현북로 2</t>
  </si>
  <si>
    <t>2순환로 1276</t>
  </si>
  <si>
    <t>가경동 2149</t>
  </si>
  <si>
    <t>서현서로 40</t>
  </si>
  <si>
    <t>석남천2교</t>
  </si>
  <si>
    <t>서현중로 53</t>
  </si>
  <si>
    <t>(주)가나유통</t>
  </si>
  <si>
    <t>가경동 2192</t>
  </si>
  <si>
    <t>옥산면 남촌리 1116-3</t>
  </si>
  <si>
    <t>엘지교차로</t>
  </si>
  <si>
    <t>2산단3로</t>
  </si>
  <si>
    <t>2산단3로 18</t>
  </si>
  <si>
    <t>오창읍 창리 28-1</t>
  </si>
  <si>
    <t>과학산업2로</t>
  </si>
  <si>
    <t>과학산업2로 587-6</t>
  </si>
  <si>
    <t>2산단4로 77</t>
  </si>
  <si>
    <t>2산단1로</t>
  </si>
  <si>
    <t>오창읍 주성리 576</t>
  </si>
  <si>
    <t>2산단4로</t>
  </si>
  <si>
    <t>중부로</t>
  </si>
  <si>
    <t>오창읍 주성리 15-6</t>
  </si>
  <si>
    <t>2산단로</t>
  </si>
  <si>
    <t>오창읍 주성리 583</t>
  </si>
  <si>
    <t>오창읍 주성리 632</t>
  </si>
  <si>
    <t>오창읍 2산단로 124</t>
  </si>
  <si>
    <t>주성1길 5</t>
  </si>
  <si>
    <t>오창읍 송대리 320-5</t>
  </si>
  <si>
    <t>과학산업4로 146</t>
  </si>
  <si>
    <t>과학산업4로</t>
  </si>
  <si>
    <t>연구단지로</t>
  </si>
  <si>
    <t>충북대학교 오창캠퍼스 융합기술원</t>
  </si>
  <si>
    <t>양청4길 45</t>
  </si>
  <si>
    <t>중심상업2로</t>
  </si>
  <si>
    <t>오창읍 양청2안길 29</t>
  </si>
  <si>
    <t>중심상업2로 38</t>
  </si>
  <si>
    <t>양청4길 4</t>
  </si>
  <si>
    <t>중심상업로</t>
  </si>
  <si>
    <t>중심상업로 66-17</t>
  </si>
  <si>
    <t>중심상업로 14</t>
  </si>
  <si>
    <t>구룡택지1로</t>
  </si>
  <si>
    <t>오창중앙로</t>
  </si>
  <si>
    <t>오창읍 각리 636-5</t>
  </si>
  <si>
    <t>오창대로</t>
  </si>
  <si>
    <t>오창읍 구룡리 374-2</t>
  </si>
  <si>
    <t>오창중앙로 123-2</t>
  </si>
  <si>
    <t>오창읍 각리 636-4</t>
  </si>
  <si>
    <t>옥산면 과학산업3로 20</t>
  </si>
  <si>
    <t>과학산업3로 238</t>
  </si>
  <si>
    <t>과학산업2로 285</t>
  </si>
  <si>
    <t>오창읍 구룡리 392-5</t>
  </si>
  <si>
    <t>과학산업2로 267</t>
  </si>
  <si>
    <t>과학산업2로 268</t>
  </si>
  <si>
    <t>과학산업5로 16</t>
  </si>
  <si>
    <t>과학산업3로</t>
  </si>
  <si>
    <t>구룡택지로 48</t>
  </si>
  <si>
    <t>구룡택지로</t>
  </si>
  <si>
    <t>과학산업3로 66</t>
  </si>
  <si>
    <t>오창읍 양청리 808-1</t>
  </si>
  <si>
    <t>양청송대길 37</t>
  </si>
  <si>
    <t>양청송대길</t>
  </si>
  <si>
    <t>오창읍 각리 638-3</t>
  </si>
  <si>
    <t>중부로 683</t>
  </si>
  <si>
    <t>오송읍 공북리 623-10</t>
  </si>
  <si>
    <t>궁평1교차로</t>
  </si>
  <si>
    <t>오송읍 궁평리 246-4</t>
  </si>
  <si>
    <t>정중연제로</t>
  </si>
  <si>
    <t>오창읍 양청리 821-5</t>
  </si>
  <si>
    <t>오창공항로</t>
  </si>
  <si>
    <t>내수읍 입동리 230-5</t>
  </si>
  <si>
    <t>내수읍 입동리 153-18</t>
  </si>
  <si>
    <t>입동삼거리</t>
  </si>
  <si>
    <t>오송읍 쌍청리 444-9</t>
  </si>
  <si>
    <t>오송읍 만수리 285-5</t>
  </si>
  <si>
    <t>만수교차로</t>
  </si>
  <si>
    <t>오송읍 만수1길 40-19</t>
  </si>
  <si>
    <t>연제만수길</t>
  </si>
  <si>
    <t>오송읍 오송리 5-5</t>
  </si>
  <si>
    <t>오송읍 오송리 148-24</t>
  </si>
  <si>
    <t>세종오송로</t>
  </si>
  <si>
    <t>오송생명1로 10</t>
  </si>
  <si>
    <t>오송생명1로 265</t>
  </si>
  <si>
    <t>오송생명4로</t>
  </si>
  <si>
    <t>오송생명로</t>
  </si>
  <si>
    <t>오송가락로</t>
  </si>
  <si>
    <t>오송생명2로 257</t>
  </si>
  <si>
    <t>오송생명로 46</t>
  </si>
  <si>
    <t>오송생명1로</t>
  </si>
  <si>
    <t>오송생명2로 1</t>
  </si>
  <si>
    <t>오송생명2로 200</t>
  </si>
  <si>
    <t>오송생명2로</t>
  </si>
  <si>
    <t>오송읍 오송생명5로 305</t>
  </si>
  <si>
    <t>오송고등학교</t>
  </si>
  <si>
    <t>오송생명3로 87</t>
  </si>
  <si>
    <t>오송읍 상정리 394-2</t>
  </si>
  <si>
    <t>오송읍 쌍청리 184-4</t>
  </si>
  <si>
    <t>오송생명6로</t>
  </si>
  <si>
    <t>오송읍 상정리 524-1</t>
  </si>
  <si>
    <t>오송읍 상정리 579-34</t>
  </si>
  <si>
    <t>상정4교</t>
  </si>
  <si>
    <t>상정1교</t>
  </si>
  <si>
    <t>오송읍 만수리 474</t>
  </si>
  <si>
    <t>오송생명3로 155</t>
  </si>
  <si>
    <t>오송생명3로 156</t>
  </si>
  <si>
    <t>오송읍 만수리 915-1</t>
  </si>
  <si>
    <t>오송읍 만수리 865</t>
  </si>
  <si>
    <t>오송생명5로 305</t>
  </si>
  <si>
    <t>프라임시티오피스텔</t>
  </si>
  <si>
    <t>오송생명3로</t>
  </si>
  <si>
    <t>오송생명5로</t>
  </si>
  <si>
    <t>오송읍 만수리 878-1</t>
  </si>
  <si>
    <t>오송생명6로 70</t>
  </si>
  <si>
    <t>오송읍 만수리 479</t>
  </si>
  <si>
    <t>오송읍 오송생명6로 132</t>
  </si>
  <si>
    <t>오송읍 연제리 645</t>
  </si>
  <si>
    <t>오송생명로 61</t>
  </si>
  <si>
    <t>오송생명2로 110-12</t>
  </si>
  <si>
    <t>오송읍 연제리 662</t>
  </si>
  <si>
    <t>오송생명3로 55</t>
  </si>
  <si>
    <t>오송읍 연제리 666</t>
  </si>
  <si>
    <t>오송읍 연제리 836-1</t>
  </si>
  <si>
    <t>연제길</t>
  </si>
  <si>
    <t>오송읍 오송생명5로 303</t>
  </si>
  <si>
    <t>오창읍 창리 60-7</t>
  </si>
  <si>
    <t>오창읍 양지리 76-1</t>
  </si>
  <si>
    <t>오창양지길</t>
  </si>
  <si>
    <t>문암로</t>
  </si>
  <si>
    <t>용성초등학교</t>
  </si>
  <si>
    <t>외북동 63-2</t>
  </si>
  <si>
    <t>월명로 235번길</t>
  </si>
  <si>
    <t>월명로 201번길</t>
  </si>
  <si>
    <t>오창읍 송대리 311-6</t>
  </si>
  <si>
    <t>오창읍 중심상업로 66-5</t>
  </si>
  <si>
    <t>백봉로224번길 79</t>
  </si>
  <si>
    <t>과상미로</t>
  </si>
  <si>
    <t>과상미로 63</t>
  </si>
  <si>
    <t>직지대로 757</t>
  </si>
  <si>
    <t>국민건강보험공단청주서부지사</t>
  </si>
  <si>
    <t>사운로 209</t>
  </si>
  <si>
    <t>가경동 1572</t>
  </si>
  <si>
    <t>개신3교</t>
  </si>
  <si>
    <t>개신동 695</t>
  </si>
  <si>
    <t>복대로 15</t>
  </si>
  <si>
    <t>복대로17번길 57</t>
  </si>
  <si>
    <t>서문동 226</t>
  </si>
  <si>
    <t>서문동 152-10</t>
  </si>
  <si>
    <t>상당로81번길</t>
  </si>
  <si>
    <t>신화로32번길 2</t>
  </si>
  <si>
    <t>신화로 49</t>
  </si>
  <si>
    <t>남이면 가마리 34-1</t>
  </si>
  <si>
    <t>미평동 252-8</t>
  </si>
  <si>
    <t>분평주공사거리</t>
  </si>
  <si>
    <t>분평동 610</t>
  </si>
  <si>
    <t>용평로94번길 3</t>
  </si>
  <si>
    <t>용평로94번길</t>
  </si>
  <si>
    <t>명암동 산 55-11</t>
  </si>
  <si>
    <t>명암동 115-14</t>
  </si>
  <si>
    <t>용담동 267</t>
  </si>
  <si>
    <t>명암동 155-13</t>
  </si>
  <si>
    <t>용담동 304</t>
  </si>
  <si>
    <t>용담동 452</t>
  </si>
  <si>
    <t>산성로116번길 5</t>
  </si>
  <si>
    <t>수영로 307</t>
  </si>
  <si>
    <t>용담동 308-8</t>
  </si>
  <si>
    <t>수영로353번길 45</t>
  </si>
  <si>
    <t>중고개로 285</t>
  </si>
  <si>
    <t>원봉로 50</t>
  </si>
  <si>
    <t>월평로184번길 5</t>
  </si>
  <si>
    <t>용암동 2087</t>
  </si>
  <si>
    <t>용암로 6</t>
  </si>
  <si>
    <t>운동동 415-2</t>
  </si>
  <si>
    <t>무농정로 116-19</t>
  </si>
  <si>
    <t>지동동 886</t>
    <phoneticPr fontId="1" type="noConversion"/>
  </si>
  <si>
    <t>충청대로</t>
    <phoneticPr fontId="1" type="noConversion"/>
  </si>
  <si>
    <t>내덕칠거리</t>
    <phoneticPr fontId="1" type="noConversion"/>
  </si>
  <si>
    <t>율량동 500-9</t>
  </si>
  <si>
    <t>용암북로 204</t>
  </si>
  <si>
    <t>내덕동 188-4</t>
    <phoneticPr fontId="1" type="noConversion"/>
  </si>
  <si>
    <t>강촌로</t>
    <phoneticPr fontId="1" type="noConversion"/>
  </si>
  <si>
    <t>서청주농협정봉지점</t>
    <phoneticPr fontId="1" type="noConversion"/>
  </si>
  <si>
    <t>친환경농산물가공유통센터</t>
    <phoneticPr fontId="1" type="noConversion"/>
  </si>
  <si>
    <t>서청주교사거리</t>
    <phoneticPr fontId="1" type="noConversion"/>
  </si>
  <si>
    <t>대한적십자사충북지사</t>
    <phoneticPr fontId="1" type="noConversion"/>
  </si>
  <si>
    <t>복대사거리</t>
    <phoneticPr fontId="1" type="noConversion"/>
  </si>
  <si>
    <t>KT서청주지사 맞은편</t>
    <phoneticPr fontId="1" type="noConversion"/>
  </si>
  <si>
    <t>송정동 211-9</t>
  </si>
  <si>
    <t>석교동 25-5</t>
  </si>
  <si>
    <t>주중동 1084</t>
  </si>
  <si>
    <t>산남로70번길 51</t>
  </si>
  <si>
    <t>조은새마을금고 사직지점</t>
  </si>
  <si>
    <t>송절동 114-3</t>
  </si>
  <si>
    <t>월명로236번길 15</t>
  </si>
  <si>
    <t>복대동 265-33</t>
  </si>
  <si>
    <t>2순환로 1073</t>
  </si>
  <si>
    <t>죽천로 73</t>
  </si>
  <si>
    <t>하워드존슨청주호텔</t>
  </si>
  <si>
    <t>오송읍 연제리 678</t>
  </si>
  <si>
    <t>1순환로1107번길</t>
    <phoneticPr fontId="1" type="noConversion"/>
  </si>
  <si>
    <t>KEB하나은행 오창지점</t>
  </si>
  <si>
    <t>아이티엠반도체 제2공장</t>
  </si>
  <si>
    <t>세븐일레븐 청주효림메디컬점</t>
  </si>
  <si>
    <t>GS25 청주모태안점</t>
  </si>
  <si>
    <t>GS25 청주가마점</t>
  </si>
  <si>
    <t>청주용담동우체국</t>
  </si>
  <si>
    <t>용암제2-3호(사랑)</t>
  </si>
  <si>
    <t>외북동 58-1</t>
  </si>
  <si>
    <t>외북동 62-18</t>
  </si>
  <si>
    <t>분평동 213-2</t>
  </si>
  <si>
    <t>사창동 549</t>
  </si>
  <si>
    <t>향정동 102-23</t>
  </si>
  <si>
    <t>비하동 625-3</t>
  </si>
  <si>
    <t>0.탑연월곡길 아래 도로</t>
  </si>
  <si>
    <t>강내면 탑연리 307-18</t>
  </si>
  <si>
    <t>탑연월곡길 48</t>
  </si>
  <si>
    <t>사창동 281-7</t>
  </si>
  <si>
    <t>수곡동 1055</t>
  </si>
  <si>
    <t>오송생명5로 151</t>
  </si>
  <si>
    <t>오송읍 만수리 514</t>
  </si>
  <si>
    <t>오송읍 연제리 454-9</t>
  </si>
  <si>
    <t>오송생명3로 76</t>
  </si>
  <si>
    <t>최소자전거
도로폭원
(m)</t>
    <phoneticPr fontId="2" type="noConversion"/>
  </si>
  <si>
    <t>최대자전거
도로폭원
(m)</t>
    <phoneticPr fontId="2" type="noConversion"/>
  </si>
  <si>
    <t>최소보도
폭원
(m)</t>
    <phoneticPr fontId="2" type="noConversion"/>
  </si>
  <si>
    <t>최대보도
폭원
(m)</t>
    <phoneticPr fontId="2" type="noConversion"/>
  </si>
  <si>
    <t>최소도로
폭원
(m)</t>
    <phoneticPr fontId="2" type="noConversion"/>
  </si>
  <si>
    <t>최대도로
폭원
(m)</t>
    <phoneticPr fontId="2" type="noConversion"/>
  </si>
  <si>
    <t>최소유효
폭원
(m)</t>
    <phoneticPr fontId="2" type="noConversion"/>
  </si>
  <si>
    <t>최대유효
폭원
(m)</t>
    <phoneticPr fontId="2" type="noConversion"/>
  </si>
  <si>
    <t>2산단2로</t>
  </si>
  <si>
    <t>옥산면 남촌리 858</t>
  </si>
  <si>
    <t>비하동 790</t>
  </si>
  <si>
    <t>가경동 2216</t>
  </si>
  <si>
    <t>평촌동 239-2</t>
  </si>
  <si>
    <t>1.5~1.7</t>
    <phoneticPr fontId="1" type="noConversion"/>
  </si>
  <si>
    <t>이용목적</t>
  </si>
  <si>
    <t xml:space="preserve"> </t>
    <phoneticPr fontId="1" type="noConversion"/>
  </si>
  <si>
    <t>통학</t>
  </si>
  <si>
    <t>색상</t>
  </si>
  <si>
    <t>재질</t>
  </si>
  <si>
    <t>탄성콘</t>
  </si>
  <si>
    <t>관광레저</t>
  </si>
  <si>
    <t>오송읍 연제리 663</t>
  </si>
  <si>
    <t>오송두산위브센티움</t>
  </si>
  <si>
    <t>푸르지오캐슬아파트</t>
  </si>
  <si>
    <t>0.사직2공원, 푸르지오캐슬 사이 길</t>
  </si>
  <si>
    <t>상리교차로</t>
  </si>
  <si>
    <t>개신동 447-14</t>
  </si>
  <si>
    <t>자전거도로</t>
    <phoneticPr fontId="1" type="noConversion"/>
  </si>
  <si>
    <t>초록</t>
    <phoneticPr fontId="1" type="noConversion"/>
  </si>
  <si>
    <t>아스콘</t>
    <phoneticPr fontId="1" type="noConversion"/>
  </si>
  <si>
    <t>암적</t>
    <phoneticPr fontId="1" type="noConversion"/>
  </si>
  <si>
    <t>탄성콘</t>
    <phoneticPr fontId="1" type="noConversion"/>
  </si>
  <si>
    <t>회색</t>
    <phoneticPr fontId="1" type="noConversion"/>
  </si>
  <si>
    <t>보도블럭</t>
    <phoneticPr fontId="1" type="noConversion"/>
  </si>
  <si>
    <t>아스콘,보도블럭</t>
    <phoneticPr fontId="1" type="noConversion"/>
  </si>
  <si>
    <t>빨강</t>
    <phoneticPr fontId="1" type="noConversion"/>
  </si>
  <si>
    <t>총계</t>
    <phoneticPr fontId="1" type="noConversion"/>
  </si>
  <si>
    <t>수릉재 삼거리</t>
    <phoneticPr fontId="1" type="noConversion"/>
  </si>
  <si>
    <t>내덕2동 행정복지센터</t>
    <phoneticPr fontId="1" type="noConversion"/>
  </si>
  <si>
    <t>신흥고 사거리</t>
    <phoneticPr fontId="1" type="noConversion"/>
  </si>
  <si>
    <t>분평로</t>
    <phoneticPr fontId="1" type="noConversion"/>
  </si>
  <si>
    <t>남성중학교</t>
    <phoneticPr fontId="1" type="noConversion"/>
  </si>
  <si>
    <t>분평동 주민센터</t>
    <phoneticPr fontId="1" type="noConversion"/>
  </si>
  <si>
    <t>분평뜨란채 1단지</t>
    <phoneticPr fontId="1" type="noConversion"/>
  </si>
  <si>
    <t>전자랜드 분평점</t>
    <phoneticPr fontId="1" type="noConversion"/>
  </si>
  <si>
    <t>청주 남부 신협 본점</t>
    <phoneticPr fontId="1" type="noConversion"/>
  </si>
  <si>
    <t>청주대교</t>
    <phoneticPr fontId="1" type="noConversion"/>
  </si>
  <si>
    <t>사직동 236-17</t>
    <phoneticPr fontId="1" type="noConversion"/>
  </si>
  <si>
    <t>사직사거리</t>
    <phoneticPr fontId="1" type="noConversion"/>
  </si>
  <si>
    <t>호국로</t>
    <phoneticPr fontId="1" type="noConversion"/>
  </si>
  <si>
    <t>사직동 267-16</t>
    <phoneticPr fontId="1" type="noConversion"/>
  </si>
  <si>
    <t>사직대로307번길</t>
    <phoneticPr fontId="1" type="noConversion"/>
  </si>
  <si>
    <t>상당사거리</t>
    <phoneticPr fontId="1" type="noConversion"/>
  </si>
  <si>
    <t>북문로2가 116-132</t>
    <phoneticPr fontId="1" type="noConversion"/>
  </si>
  <si>
    <t>홈플러스 성안점</t>
    <phoneticPr fontId="1" type="noConversion"/>
  </si>
  <si>
    <t>서부로</t>
    <phoneticPr fontId="1" type="noConversion"/>
  </si>
  <si>
    <t>석곡사거리</t>
    <phoneticPr fontId="1" type="noConversion"/>
  </si>
  <si>
    <t>개신오거리</t>
    <phoneticPr fontId="1" type="noConversion"/>
  </si>
  <si>
    <t>신성화로</t>
    <phoneticPr fontId="1" type="noConversion"/>
  </si>
  <si>
    <t>성화동 496</t>
    <phoneticPr fontId="1" type="noConversion"/>
  </si>
  <si>
    <t>충북대학교병원 응급의료센터</t>
    <phoneticPr fontId="1" type="noConversion"/>
  </si>
  <si>
    <t>개신동 산 107-3</t>
    <phoneticPr fontId="1" type="noConversion"/>
  </si>
  <si>
    <t>서부로 1510</t>
    <phoneticPr fontId="1" type="noConversion"/>
  </si>
  <si>
    <t>증안로</t>
    <phoneticPr fontId="1" type="noConversion"/>
  </si>
  <si>
    <t>2순환로</t>
    <phoneticPr fontId="1" type="noConversion"/>
  </si>
  <si>
    <t>대신로</t>
    <phoneticPr fontId="1" type="noConversion"/>
  </si>
  <si>
    <t>복대1동 주민센터</t>
    <phoneticPr fontId="1" type="noConversion"/>
  </si>
  <si>
    <t>공항로</t>
    <phoneticPr fontId="1" type="noConversion"/>
  </si>
  <si>
    <t>성모병원삼거리</t>
    <phoneticPr fontId="1" type="noConversion"/>
  </si>
  <si>
    <t>사천교사거리</t>
    <phoneticPr fontId="1" type="noConversion"/>
  </si>
  <si>
    <t>NH농협은행 율량동지점</t>
    <phoneticPr fontId="1" type="noConversion"/>
  </si>
  <si>
    <t>솔밭공원사거리</t>
    <phoneticPr fontId="1" type="noConversion"/>
  </si>
  <si>
    <t>청주세무서</t>
    <phoneticPr fontId="1" type="noConversion"/>
  </si>
  <si>
    <t>산단로</t>
    <phoneticPr fontId="1" type="noConversion"/>
  </si>
  <si>
    <t>한국폴리텍대학청주캠퍼스</t>
    <phoneticPr fontId="1" type="noConversion"/>
  </si>
  <si>
    <t>조천자전거길</t>
    <phoneticPr fontId="1" type="noConversion"/>
  </si>
  <si>
    <t>오송읍 정중리 339-2</t>
    <phoneticPr fontId="1" type="noConversion"/>
  </si>
  <si>
    <t>오송읍 서평리 459</t>
    <phoneticPr fontId="1" type="noConversion"/>
  </si>
  <si>
    <t>정중삼거리</t>
    <phoneticPr fontId="1" type="noConversion"/>
  </si>
  <si>
    <t>오천자전거길</t>
    <phoneticPr fontId="1" type="noConversion"/>
  </si>
  <si>
    <t>오송읍 서평리 693-20</t>
    <phoneticPr fontId="1" type="noConversion"/>
  </si>
  <si>
    <t>정상동 368-24</t>
    <phoneticPr fontId="1" type="noConversion"/>
  </si>
  <si>
    <t>청주시하수처리장</t>
    <phoneticPr fontId="1" type="noConversion"/>
  </si>
  <si>
    <t>3.0~4.0</t>
    <phoneticPr fontId="1" type="noConversion"/>
  </si>
  <si>
    <t>북이면 옥수리 23-3</t>
    <phoneticPr fontId="1" type="noConversion"/>
  </si>
  <si>
    <t>팔결교삼거리</t>
    <phoneticPr fontId="1" type="noConversion"/>
  </si>
  <si>
    <t>4.0~5.0</t>
    <phoneticPr fontId="1" type="noConversion"/>
  </si>
  <si>
    <t>무심천자전거길</t>
    <phoneticPr fontId="1" type="noConversion"/>
  </si>
  <si>
    <t>고은사거리</t>
    <phoneticPr fontId="1" type="noConversion"/>
  </si>
  <si>
    <t>청주시아동복지관</t>
    <phoneticPr fontId="1" type="noConversion"/>
  </si>
  <si>
    <t>도당산사거리</t>
    <phoneticPr fontId="1" type="noConversion"/>
  </si>
  <si>
    <t>화당삼거리</t>
    <phoneticPr fontId="1" type="noConversion"/>
  </si>
  <si>
    <t>문의사거리</t>
    <phoneticPr fontId="1" type="noConversion"/>
  </si>
  <si>
    <t>상장삼거리</t>
    <phoneticPr fontId="1" type="noConversion"/>
  </si>
  <si>
    <t>2.6~3.2</t>
    <phoneticPr fontId="1" type="noConversion"/>
  </si>
  <si>
    <t>청남로</t>
    <phoneticPr fontId="1" type="noConversion"/>
  </si>
  <si>
    <t>현도교</t>
    <phoneticPr fontId="1" type="noConversion"/>
  </si>
  <si>
    <t>현도오토캠핑장</t>
    <phoneticPr fontId="1" type="noConversion"/>
  </si>
  <si>
    <t>2차로</t>
    <phoneticPr fontId="1" type="noConversion"/>
  </si>
  <si>
    <t>성대교</t>
    <phoneticPr fontId="1" type="noConversion"/>
  </si>
  <si>
    <t>미원삼거리</t>
    <phoneticPr fontId="1" type="noConversion"/>
  </si>
  <si>
    <t>청주역사거리</t>
    <phoneticPr fontId="1" type="noConversion"/>
  </si>
  <si>
    <t>월곡사거리</t>
    <phoneticPr fontId="1" type="noConversion"/>
  </si>
  <si>
    <t>학천사거리</t>
    <phoneticPr fontId="1" type="noConversion"/>
  </si>
  <si>
    <t>강내면 학천리 296-6</t>
    <phoneticPr fontId="1" type="noConversion"/>
  </si>
  <si>
    <t>금석교사거리</t>
    <phoneticPr fontId="1" type="noConversion"/>
  </si>
  <si>
    <t>석교동 버스정류장</t>
    <phoneticPr fontId="1" type="noConversion"/>
  </si>
  <si>
    <t>보도블럭,아스콘</t>
    <phoneticPr fontId="1" type="noConversion"/>
  </si>
  <si>
    <t>대성로11번길</t>
    <phoneticPr fontId="1" type="noConversion"/>
  </si>
  <si>
    <t>단재로 26</t>
    <phoneticPr fontId="1" type="noConversion"/>
  </si>
  <si>
    <t>지북교차로</t>
    <phoneticPr fontId="1" type="noConversion"/>
  </si>
  <si>
    <t>용암사거리</t>
    <phoneticPr fontId="1" type="noConversion"/>
  </si>
  <si>
    <t>두산한솔1차아파트</t>
    <phoneticPr fontId="1" type="noConversion"/>
  </si>
  <si>
    <t>청주타워</t>
    <phoneticPr fontId="1" type="noConversion"/>
  </si>
  <si>
    <t>대머리공원사거리</t>
    <phoneticPr fontId="1" type="noConversion"/>
  </si>
  <si>
    <t>롯데시네마청주용암점</t>
    <phoneticPr fontId="1" type="noConversion"/>
  </si>
  <si>
    <t>원마루공원 맞은편</t>
    <phoneticPr fontId="1" type="noConversion"/>
  </si>
  <si>
    <t>1순환로1137번길</t>
    <phoneticPr fontId="1" type="noConversion"/>
  </si>
  <si>
    <t>원마루공원</t>
    <phoneticPr fontId="1" type="noConversion"/>
  </si>
  <si>
    <t>청주지방합동청사</t>
    <phoneticPr fontId="1" type="noConversion"/>
  </si>
  <si>
    <t>한국농어촌공사충북지역본부</t>
    <phoneticPr fontId="1" type="noConversion"/>
  </si>
  <si>
    <t>수곡로106번길</t>
    <phoneticPr fontId="1" type="noConversion"/>
  </si>
  <si>
    <t>창직로</t>
    <phoneticPr fontId="1" type="noConversion"/>
  </si>
  <si>
    <t>1순환로739번길</t>
    <phoneticPr fontId="1" type="noConversion"/>
  </si>
  <si>
    <t>대원딸기어린이집</t>
    <phoneticPr fontId="1" type="noConversion"/>
  </si>
  <si>
    <t>충북대학교후문 버스정류장</t>
    <phoneticPr fontId="1" type="noConversion"/>
  </si>
  <si>
    <t>1순환로704번길</t>
    <phoneticPr fontId="1" type="noConversion"/>
  </si>
  <si>
    <t>1순환로625번길</t>
    <phoneticPr fontId="1" type="noConversion"/>
  </si>
  <si>
    <t>상리교차로</t>
    <phoneticPr fontId="1" type="noConversion"/>
  </si>
  <si>
    <t>율량동 167-2</t>
    <phoneticPr fontId="1" type="noConversion"/>
  </si>
  <si>
    <t>제2운천교사거리</t>
    <phoneticPr fontId="1" type="noConversion"/>
  </si>
  <si>
    <t>율량교차로</t>
    <phoneticPr fontId="1" type="noConversion"/>
  </si>
  <si>
    <t>충북지방경찰청</t>
    <phoneticPr fontId="1" type="noConversion"/>
  </si>
  <si>
    <t>하이닉스반도체 여자기숙사</t>
    <phoneticPr fontId="1" type="noConversion"/>
  </si>
  <si>
    <t>부모산로</t>
    <phoneticPr fontId="1" type="noConversion"/>
  </si>
  <si>
    <t>대농교사거리</t>
    <phoneticPr fontId="1" type="noConversion"/>
  </si>
  <si>
    <t>흥덕고삼거리</t>
    <phoneticPr fontId="1" type="noConversion"/>
  </si>
  <si>
    <t>비하삼거리</t>
    <phoneticPr fontId="1" type="noConversion"/>
  </si>
  <si>
    <t>2순환로 1100-1</t>
    <phoneticPr fontId="1" type="noConversion"/>
  </si>
  <si>
    <t>2순환로1167번길</t>
    <phoneticPr fontId="1" type="noConversion"/>
  </si>
  <si>
    <t>복대중학교</t>
    <phoneticPr fontId="1" type="noConversion"/>
  </si>
  <si>
    <t>2순환로1122번길</t>
    <phoneticPr fontId="1" type="noConversion"/>
  </si>
  <si>
    <t>예체로</t>
    <phoneticPr fontId="1" type="noConversion"/>
  </si>
  <si>
    <t>삼일아파트 버스정류장</t>
    <phoneticPr fontId="1" type="noConversion"/>
  </si>
  <si>
    <t>충청북도선거관리위원회</t>
    <phoneticPr fontId="1" type="noConversion"/>
  </si>
  <si>
    <t>시외버스터미널사거리</t>
    <phoneticPr fontId="1" type="noConversion"/>
  </si>
  <si>
    <t>가마교차로</t>
    <phoneticPr fontId="1" type="noConversion"/>
  </si>
  <si>
    <t>장암사거리</t>
    <phoneticPr fontId="1" type="noConversion"/>
  </si>
  <si>
    <t>사운로262번길</t>
    <phoneticPr fontId="1" type="noConversion"/>
  </si>
  <si>
    <t>암적,회색</t>
    <phoneticPr fontId="1" type="noConversion"/>
  </si>
  <si>
    <t>무심천체육공원</t>
    <phoneticPr fontId="1" type="noConversion"/>
  </si>
  <si>
    <t>모충대교오거리</t>
    <phoneticPr fontId="1" type="noConversion"/>
  </si>
  <si>
    <t>모충동 522-6</t>
    <phoneticPr fontId="1" type="noConversion"/>
  </si>
  <si>
    <t>방서교</t>
    <phoneticPr fontId="1" type="noConversion"/>
  </si>
  <si>
    <t>수영교사거리</t>
    <phoneticPr fontId="1" type="noConversion"/>
  </si>
  <si>
    <t>원평초등학교</t>
    <phoneticPr fontId="1" type="noConversion"/>
  </si>
  <si>
    <t>제2운천교오거리</t>
    <phoneticPr fontId="1" type="noConversion"/>
  </si>
  <si>
    <t>제1운천교</t>
    <phoneticPr fontId="1" type="noConversion"/>
  </si>
  <si>
    <t>주성초등학교</t>
    <phoneticPr fontId="1" type="noConversion"/>
  </si>
  <si>
    <t>중앙로61번길</t>
    <phoneticPr fontId="1" type="noConversion"/>
  </si>
  <si>
    <t>모충대교사거리</t>
    <phoneticPr fontId="1" type="noConversion"/>
  </si>
  <si>
    <t>청남교사거리</t>
    <phoneticPr fontId="1" type="noConversion"/>
  </si>
  <si>
    <t>미평사거리</t>
    <phoneticPr fontId="1" type="noConversion"/>
  </si>
  <si>
    <t>분평사거리</t>
    <phoneticPr fontId="1" type="noConversion"/>
  </si>
  <si>
    <t>1순환로 1032</t>
    <phoneticPr fontId="1" type="noConversion"/>
  </si>
  <si>
    <t>충청북도교육청</t>
    <phoneticPr fontId="1" type="noConversion"/>
  </si>
  <si>
    <t>청주미평교회</t>
    <phoneticPr fontId="1" type="noConversion"/>
  </si>
  <si>
    <t>이마트청주점</t>
    <phoneticPr fontId="1" type="noConversion"/>
  </si>
  <si>
    <t>이마트 청주점</t>
    <phoneticPr fontId="1" type="noConversion"/>
  </si>
  <si>
    <t>이마트 버스정류장</t>
    <phoneticPr fontId="1" type="noConversion"/>
  </si>
  <si>
    <t>청남로1847번길</t>
    <phoneticPr fontId="1" type="noConversion"/>
  </si>
  <si>
    <t>남지로</t>
    <phoneticPr fontId="1" type="noConversion"/>
  </si>
  <si>
    <t>농협가마지점버스정류장</t>
    <phoneticPr fontId="1" type="noConversion"/>
  </si>
  <si>
    <t>사운로404번길</t>
    <phoneticPr fontId="1" type="noConversion"/>
  </si>
  <si>
    <t>삼원맨션사거리</t>
    <phoneticPr fontId="1" type="noConversion"/>
  </si>
  <si>
    <t>흥덕사거리</t>
    <phoneticPr fontId="1" type="noConversion"/>
  </si>
  <si>
    <t>충북원예농협청주지점</t>
    <phoneticPr fontId="1" type="noConversion"/>
  </si>
  <si>
    <t>무심동로</t>
    <phoneticPr fontId="1" type="noConversion"/>
  </si>
  <si>
    <t>율량지구대</t>
    <phoneticPr fontId="1" type="noConversion"/>
  </si>
  <si>
    <t>탄성콘,보도블럭</t>
    <phoneticPr fontId="1" type="noConversion"/>
  </si>
  <si>
    <t>주중초등학교</t>
    <phoneticPr fontId="1" type="noConversion"/>
  </si>
  <si>
    <t>대한노인회</t>
    <phoneticPr fontId="1" type="noConversion"/>
  </si>
  <si>
    <t>중앙초등학교</t>
    <phoneticPr fontId="1" type="noConversion"/>
  </si>
  <si>
    <t>율봉로</t>
    <phoneticPr fontId="1" type="noConversion"/>
  </si>
  <si>
    <t>주성중학교</t>
    <phoneticPr fontId="1" type="noConversion"/>
  </si>
  <si>
    <t>1순환로 128</t>
    <phoneticPr fontId="1" type="noConversion"/>
  </si>
  <si>
    <t>율량로</t>
    <phoneticPr fontId="1" type="noConversion"/>
  </si>
  <si>
    <t>주성로</t>
    <phoneticPr fontId="1" type="noConversion"/>
  </si>
  <si>
    <t>마로니에시공원</t>
    <phoneticPr fontId="1" type="noConversion"/>
  </si>
  <si>
    <t>농협사거리</t>
    <phoneticPr fontId="1" type="noConversion"/>
  </si>
  <si>
    <t>청주여자고등학교</t>
    <phoneticPr fontId="1" type="noConversion"/>
  </si>
  <si>
    <t>덕성교</t>
    <phoneticPr fontId="1" type="noConversion"/>
  </si>
  <si>
    <t>롯데리아청주사천점</t>
    <phoneticPr fontId="1" type="noConversion"/>
  </si>
  <si>
    <t>기아오토큐율량점</t>
    <phoneticPr fontId="1" type="noConversion"/>
  </si>
  <si>
    <t>사천교</t>
    <phoneticPr fontId="1" type="noConversion"/>
  </si>
  <si>
    <t>이랜드해가든아파트</t>
    <phoneticPr fontId="1" type="noConversion"/>
  </si>
  <si>
    <t>덕천교</t>
    <phoneticPr fontId="1" type="noConversion"/>
  </si>
  <si>
    <t>1순환로330번길 50</t>
    <phoneticPr fontId="1" type="noConversion"/>
  </si>
  <si>
    <t>시영아파트사거리</t>
    <phoneticPr fontId="1" type="noConversion"/>
  </si>
  <si>
    <t>시영아파트버스정류장</t>
    <phoneticPr fontId="1" type="noConversion"/>
  </si>
  <si>
    <t>우암로</t>
    <phoneticPr fontId="1" type="noConversion"/>
  </si>
  <si>
    <t>내율사새마을금고본점</t>
    <phoneticPr fontId="1" type="noConversion"/>
  </si>
  <si>
    <t>우암오거리</t>
    <phoneticPr fontId="1" type="noConversion"/>
  </si>
  <si>
    <t>우암사거리</t>
    <phoneticPr fontId="1" type="noConversion"/>
  </si>
  <si>
    <t>향군로53번길</t>
    <phoneticPr fontId="1" type="noConversion"/>
  </si>
  <si>
    <t>향군로41번길</t>
    <phoneticPr fontId="1" type="noConversion"/>
  </si>
  <si>
    <t>향군로15번길 10</t>
    <phoneticPr fontId="1" type="noConversion"/>
  </si>
  <si>
    <t>한국전력공사동청주지사</t>
    <phoneticPr fontId="1" type="noConversion"/>
  </si>
  <si>
    <t>중앙로</t>
    <phoneticPr fontId="1" type="noConversion"/>
  </si>
  <si>
    <t>CTS충북방송</t>
    <phoneticPr fontId="1" type="noConversion"/>
  </si>
  <si>
    <t>청주농고사거리</t>
    <phoneticPr fontId="1" type="noConversion"/>
  </si>
  <si>
    <t>덕벌초교삼거리</t>
    <phoneticPr fontId="1" type="noConversion"/>
  </si>
  <si>
    <t>청주시육아종합지원센터</t>
    <phoneticPr fontId="1" type="noConversion"/>
  </si>
  <si>
    <t>상당로 322</t>
    <phoneticPr fontId="1" type="noConversion"/>
  </si>
  <si>
    <t>덕벌로</t>
    <phoneticPr fontId="1" type="noConversion"/>
  </si>
  <si>
    <t>CU청주안덕벌점</t>
    <phoneticPr fontId="1" type="noConversion"/>
  </si>
  <si>
    <t>사북로</t>
    <phoneticPr fontId="1" type="noConversion"/>
  </si>
  <si>
    <t>목화아파트</t>
    <phoneticPr fontId="1" type="noConversion"/>
  </si>
  <si>
    <t>도청사거리</t>
    <phoneticPr fontId="1" type="noConversion"/>
  </si>
  <si>
    <t>문화동 89-4</t>
    <phoneticPr fontId="1" type="noConversion"/>
  </si>
  <si>
    <t>대성로</t>
    <phoneticPr fontId="1" type="noConversion"/>
  </si>
  <si>
    <t>충청북도청</t>
    <phoneticPr fontId="1" type="noConversion"/>
  </si>
  <si>
    <t>방아다리사거리</t>
    <phoneticPr fontId="1" type="noConversion"/>
  </si>
  <si>
    <t>상당로143번길</t>
    <phoneticPr fontId="1" type="noConversion"/>
  </si>
  <si>
    <t>청주시청</t>
    <phoneticPr fontId="1" type="noConversion"/>
  </si>
  <si>
    <t>신한은행북문로지점</t>
    <phoneticPr fontId="1" type="noConversion"/>
  </si>
  <si>
    <t>용담로93번길</t>
    <phoneticPr fontId="1" type="noConversion"/>
  </si>
  <si>
    <t>미래새마을금고본점</t>
    <phoneticPr fontId="1" type="noConversion"/>
  </si>
  <si>
    <t>현대자동차청주지점</t>
    <phoneticPr fontId="1" type="noConversion"/>
  </si>
  <si>
    <t>용성중학교</t>
    <phoneticPr fontId="1" type="noConversion"/>
  </si>
  <si>
    <t>영운사거리</t>
    <phoneticPr fontId="1" type="noConversion"/>
  </si>
  <si>
    <t>gs25금천현대점</t>
    <phoneticPr fontId="1" type="noConversion"/>
  </si>
  <si>
    <t>용정제3교</t>
    <phoneticPr fontId="1" type="noConversion"/>
  </si>
  <si>
    <t>용암농협사거리</t>
    <phoneticPr fontId="1" type="noConversion"/>
  </si>
  <si>
    <t>기아오토큐분평점</t>
    <phoneticPr fontId="1" type="noConversion"/>
  </si>
  <si>
    <t>산남천</t>
    <phoneticPr fontId="1" type="noConversion"/>
  </si>
  <si>
    <t>산남고등학교</t>
    <phoneticPr fontId="1" type="noConversion"/>
  </si>
  <si>
    <t>IBK기업은행청주산남지점</t>
    <phoneticPr fontId="1" type="noConversion"/>
  </si>
  <si>
    <t>산남중학교</t>
    <phoneticPr fontId="1" type="noConversion"/>
  </si>
  <si>
    <t>성화중학교</t>
    <phoneticPr fontId="1" type="noConversion"/>
  </si>
  <si>
    <t>성화개신죽림동주민센터</t>
    <phoneticPr fontId="1" type="noConversion"/>
  </si>
  <si>
    <t>개신주공1단지 버스정류장</t>
    <phoneticPr fontId="1" type="noConversion"/>
  </si>
  <si>
    <t>복대초교입구삼거리</t>
    <phoneticPr fontId="1" type="noConversion"/>
  </si>
  <si>
    <t>gs25청주죽림점</t>
    <phoneticPr fontId="1" type="noConversion"/>
  </si>
  <si>
    <t>제일새마을금고 성화지점</t>
    <phoneticPr fontId="1" type="noConversion"/>
  </si>
  <si>
    <t>월천2교</t>
    <phoneticPr fontId="1" type="noConversion"/>
  </si>
  <si>
    <t>청주성동신협본점</t>
    <phoneticPr fontId="1" type="noConversion"/>
  </si>
  <si>
    <t>창신초등학교</t>
    <phoneticPr fontId="1" type="noConversion"/>
  </si>
  <si>
    <t>사직2공원</t>
    <phoneticPr fontId="1" type="noConversion"/>
  </si>
  <si>
    <t>서원구청</t>
    <phoneticPr fontId="1" type="noConversion"/>
  </si>
  <si>
    <t>근현대인쇄전시관</t>
    <phoneticPr fontId="1" type="noConversion"/>
  </si>
  <si>
    <t>다문화교육지원센터</t>
    <phoneticPr fontId="1" type="noConversion"/>
  </si>
  <si>
    <t>청주영어체험센터</t>
    <phoneticPr fontId="1" type="noConversion"/>
  </si>
  <si>
    <t>신봉동성당</t>
    <phoneticPr fontId="1" type="noConversion"/>
  </si>
  <si>
    <t>롯데푸드청주공장</t>
    <phoneticPr fontId="1" type="noConversion"/>
  </si>
  <si>
    <t>복대공원</t>
    <phoneticPr fontId="1" type="noConversion"/>
  </si>
  <si>
    <t>월명공원</t>
    <phoneticPr fontId="1" type="noConversion"/>
  </si>
  <si>
    <t>에스케이로</t>
    <phoneticPr fontId="1" type="noConversion"/>
  </si>
  <si>
    <t>복대교</t>
    <phoneticPr fontId="1" type="noConversion"/>
  </si>
  <si>
    <t>백봉로90번길</t>
    <phoneticPr fontId="1" type="noConversion"/>
  </si>
  <si>
    <t>SK케미칼청주공장</t>
    <phoneticPr fontId="1" type="noConversion"/>
  </si>
  <si>
    <t>백봉로72번길</t>
    <phoneticPr fontId="1" type="noConversion"/>
  </si>
  <si>
    <t>청주일반산업단지</t>
    <phoneticPr fontId="1" type="noConversion"/>
  </si>
  <si>
    <t>대신로146번길</t>
    <phoneticPr fontId="1" type="noConversion"/>
  </si>
  <si>
    <t>한국도자기아울렛매장</t>
    <phoneticPr fontId="1" type="noConversion"/>
  </si>
  <si>
    <t>직지대로409번길</t>
    <phoneticPr fontId="1" type="noConversion"/>
  </si>
  <si>
    <t>대원모방</t>
    <phoneticPr fontId="1" type="noConversion"/>
  </si>
  <si>
    <t>대신로164번길</t>
    <phoneticPr fontId="1" type="noConversion"/>
  </si>
  <si>
    <t>직지대로435번길</t>
    <phoneticPr fontId="1" type="noConversion"/>
  </si>
  <si>
    <t>한국존슨앤드존슨</t>
    <phoneticPr fontId="1" type="noConversion"/>
  </si>
  <si>
    <t>2순환로971번길</t>
    <phoneticPr fontId="1" type="noConversion"/>
  </si>
  <si>
    <t>청주시청소년수련관</t>
    <phoneticPr fontId="1" type="noConversion"/>
  </si>
  <si>
    <t>직지대로351번길</t>
    <phoneticPr fontId="1" type="noConversion"/>
  </si>
  <si>
    <t>직지대로307번길</t>
    <phoneticPr fontId="1" type="noConversion"/>
  </si>
  <si>
    <t>직지대로291번길</t>
    <phoneticPr fontId="1" type="noConversion"/>
  </si>
  <si>
    <t>향정동 73-3</t>
    <phoneticPr fontId="1" type="noConversion"/>
  </si>
  <si>
    <t>향정동 41-7</t>
    <phoneticPr fontId="1" type="noConversion"/>
  </si>
  <si>
    <t>LG전자 청주공장</t>
    <phoneticPr fontId="1" type="noConversion"/>
  </si>
  <si>
    <t>0.지웰시티몰</t>
    <phoneticPr fontId="1" type="noConversion"/>
  </si>
  <si>
    <t>현대백화점충청점</t>
    <phoneticPr fontId="1" type="noConversion"/>
  </si>
  <si>
    <t>복대동 3380</t>
    <phoneticPr fontId="1" type="noConversion"/>
  </si>
  <si>
    <t>죽천로</t>
    <phoneticPr fontId="1" type="noConversion"/>
  </si>
  <si>
    <t>복대동 504-1</t>
    <phoneticPr fontId="1" type="noConversion"/>
  </si>
  <si>
    <t>KB국민은행청주지웰시티지점</t>
    <phoneticPr fontId="1" type="noConversion"/>
  </si>
  <si>
    <t>진재로</t>
    <phoneticPr fontId="1" type="noConversion"/>
  </si>
  <si>
    <t>복대동 288-23</t>
    <phoneticPr fontId="1" type="noConversion"/>
  </si>
  <si>
    <t>하복대교 앞</t>
    <phoneticPr fontId="1" type="noConversion"/>
  </si>
  <si>
    <t>복대동 489-1</t>
    <phoneticPr fontId="1" type="noConversion"/>
  </si>
  <si>
    <t>미니스톱복대드림점</t>
    <phoneticPr fontId="1" type="noConversion"/>
  </si>
  <si>
    <t>하복대교</t>
    <phoneticPr fontId="1" type="noConversion"/>
  </si>
  <si>
    <t>복대동 3171</t>
    <phoneticPr fontId="1" type="noConversion"/>
  </si>
  <si>
    <t>복대지구대</t>
    <phoneticPr fontId="1" type="noConversion"/>
  </si>
  <si>
    <t>대농로</t>
    <phoneticPr fontId="1" type="noConversion"/>
  </si>
  <si>
    <t>복대동 626-113</t>
    <phoneticPr fontId="1" type="noConversion"/>
  </si>
  <si>
    <t>송정사거리</t>
    <phoneticPr fontId="1" type="noConversion"/>
  </si>
  <si>
    <t>복대동 275-61</t>
    <phoneticPr fontId="1" type="noConversion"/>
  </si>
  <si>
    <t>흥덕구청</t>
    <phoneticPr fontId="1" type="noConversion"/>
  </si>
  <si>
    <t>0.CU청주지웰점 위 도로</t>
    <phoneticPr fontId="1" type="noConversion"/>
  </si>
  <si>
    <t>솔밭초등학교 정문앞</t>
    <phoneticPr fontId="1" type="noConversion"/>
  </si>
  <si>
    <t>대농로 48</t>
    <phoneticPr fontId="1" type="noConversion"/>
  </si>
  <si>
    <t>복대동 288-120</t>
    <phoneticPr fontId="1" type="noConversion"/>
  </si>
  <si>
    <t>유디치과의원</t>
    <phoneticPr fontId="1" type="noConversion"/>
  </si>
  <si>
    <t>진재로103번길</t>
    <phoneticPr fontId="1" type="noConversion"/>
  </si>
  <si>
    <t>신영지웰홈스101동</t>
    <phoneticPr fontId="1" type="noConversion"/>
  </si>
  <si>
    <t>복대동542-7</t>
    <phoneticPr fontId="1" type="noConversion"/>
  </si>
  <si>
    <t>솔밭중학교</t>
    <phoneticPr fontId="1" type="noConversion"/>
  </si>
  <si>
    <t>복대동3236</t>
    <phoneticPr fontId="1" type="noConversion"/>
  </si>
  <si>
    <t>대신로73번길</t>
    <phoneticPr fontId="1" type="noConversion"/>
  </si>
  <si>
    <t>복대동 292-43</t>
    <phoneticPr fontId="1" type="noConversion"/>
  </si>
  <si>
    <t>복대동 3318</t>
    <phoneticPr fontId="1" type="noConversion"/>
  </si>
  <si>
    <t>GS25복대명성점</t>
    <phoneticPr fontId="1" type="noConversion"/>
  </si>
  <si>
    <t>대신로74번길</t>
    <phoneticPr fontId="1" type="noConversion"/>
  </si>
  <si>
    <t>대신로74</t>
    <phoneticPr fontId="1" type="noConversion"/>
  </si>
  <si>
    <t>직지초등학교</t>
    <phoneticPr fontId="1" type="noConversion"/>
  </si>
  <si>
    <t>복대동 3326-2</t>
    <phoneticPr fontId="1" type="noConversion"/>
  </si>
  <si>
    <t>직지대로436번길</t>
    <phoneticPr fontId="1" type="noConversion"/>
  </si>
  <si>
    <t>직지대로 442</t>
    <phoneticPr fontId="1" type="noConversion"/>
  </si>
  <si>
    <t>기상대사거리</t>
    <phoneticPr fontId="1" type="noConversion"/>
  </si>
  <si>
    <t>일동제약 청주공장</t>
    <phoneticPr fontId="1" type="noConversion"/>
  </si>
  <si>
    <t>복대로</t>
    <phoneticPr fontId="1" type="noConversion"/>
  </si>
  <si>
    <t>복대동 231-22</t>
    <phoneticPr fontId="1" type="noConversion"/>
  </si>
  <si>
    <t>한양시래기명태조림 맞은편</t>
    <phoneticPr fontId="1" type="noConversion"/>
  </si>
  <si>
    <t>한국타이어 복대점 맞은편</t>
    <phoneticPr fontId="1" type="noConversion"/>
  </si>
  <si>
    <t>복대동 3038</t>
    <phoneticPr fontId="1" type="noConversion"/>
  </si>
  <si>
    <t>대우자동차운전전문학원</t>
    <phoneticPr fontId="1" type="noConversion"/>
  </si>
  <si>
    <t>죽천교</t>
    <phoneticPr fontId="1" type="noConversion"/>
  </si>
  <si>
    <t>0.흥덕고 맞은편 자전거길</t>
    <phoneticPr fontId="1" type="noConversion"/>
  </si>
  <si>
    <t>진재로47번길</t>
    <phoneticPr fontId="1" type="noConversion"/>
  </si>
  <si>
    <t>증안초등학교</t>
    <phoneticPr fontId="1" type="noConversion"/>
  </si>
  <si>
    <t>가경1교</t>
    <phoneticPr fontId="1" type="noConversion"/>
  </si>
  <si>
    <t>가경사거리</t>
    <phoneticPr fontId="1" type="noConversion"/>
  </si>
  <si>
    <t>개신1교</t>
    <phoneticPr fontId="1" type="noConversion"/>
  </si>
  <si>
    <t>세븐일레븐 청주효림메디컬점</t>
    <phoneticPr fontId="1" type="noConversion"/>
  </si>
  <si>
    <t>봉명로</t>
    <phoneticPr fontId="1" type="noConversion"/>
  </si>
  <si>
    <t>충대로</t>
    <phoneticPr fontId="1" type="noConversion"/>
  </si>
  <si>
    <t>세븐일레븐 충북대사거리점</t>
    <phoneticPr fontId="1" type="noConversion"/>
  </si>
  <si>
    <t>내수동로</t>
    <phoneticPr fontId="1" type="noConversion"/>
  </si>
  <si>
    <t>사창동 주민센터</t>
    <phoneticPr fontId="1" type="noConversion"/>
  </si>
  <si>
    <t>신율로</t>
    <phoneticPr fontId="1" type="noConversion"/>
  </si>
  <si>
    <t>신율봉공원</t>
    <phoneticPr fontId="1" type="noConversion"/>
  </si>
  <si>
    <t>풍산로</t>
    <phoneticPr fontId="1" type="noConversion"/>
  </si>
  <si>
    <t>복대초등학교</t>
    <phoneticPr fontId="1" type="noConversion"/>
  </si>
  <si>
    <t>경산로</t>
    <phoneticPr fontId="1" type="noConversion"/>
  </si>
  <si>
    <t>경산초등학교</t>
    <phoneticPr fontId="1" type="noConversion"/>
  </si>
  <si>
    <t>가경로</t>
    <phoneticPr fontId="1" type="noConversion"/>
  </si>
  <si>
    <t>서원고등학교</t>
    <phoneticPr fontId="1" type="noConversion"/>
  </si>
  <si>
    <t>풍년로</t>
    <phoneticPr fontId="1" type="noConversion"/>
  </si>
  <si>
    <t>세븐일레븐 청주가경중앙점</t>
    <phoneticPr fontId="1" type="noConversion"/>
  </si>
  <si>
    <t>서울곽치과</t>
    <phoneticPr fontId="1" type="noConversion"/>
  </si>
  <si>
    <t>2순환로1375번길</t>
    <phoneticPr fontId="1" type="noConversion"/>
  </si>
  <si>
    <t>강서로</t>
    <phoneticPr fontId="1" type="noConversion"/>
  </si>
  <si>
    <t>강서삼거리</t>
    <phoneticPr fontId="1" type="noConversion"/>
  </si>
  <si>
    <t>서부로1101번길</t>
    <phoneticPr fontId="1" type="noConversion"/>
  </si>
  <si>
    <t>미니스톱 청주석곡점</t>
    <phoneticPr fontId="1" type="noConversion"/>
  </si>
  <si>
    <t>서현로</t>
    <phoneticPr fontId="1" type="noConversion"/>
  </si>
  <si>
    <t>서현초등학교</t>
    <phoneticPr fontId="1" type="noConversion"/>
  </si>
  <si>
    <t>서현북로</t>
    <phoneticPr fontId="1" type="noConversion"/>
  </si>
  <si>
    <t>우암새마을금고 강서지점</t>
    <phoneticPr fontId="1" type="noConversion"/>
  </si>
  <si>
    <t>서현서로</t>
    <phoneticPr fontId="1" type="noConversion"/>
  </si>
  <si>
    <t>미니스톱 청주강서점</t>
    <phoneticPr fontId="1" type="noConversion"/>
  </si>
  <si>
    <t>서현중로</t>
    <phoneticPr fontId="1" type="noConversion"/>
  </si>
  <si>
    <t>CU청주강서행복점</t>
    <phoneticPr fontId="1" type="noConversion"/>
  </si>
  <si>
    <t>중부로</t>
    <phoneticPr fontId="1" type="noConversion"/>
  </si>
  <si>
    <t>2산단로</t>
    <phoneticPr fontId="1" type="noConversion"/>
  </si>
  <si>
    <t>오창지구대</t>
    <phoneticPr fontId="1" type="noConversion"/>
  </si>
  <si>
    <t>2산단4로</t>
    <phoneticPr fontId="1" type="noConversion"/>
  </si>
  <si>
    <t>창리초등학교</t>
    <phoneticPr fontId="1" type="noConversion"/>
  </si>
  <si>
    <t>2산단3로</t>
    <phoneticPr fontId="1" type="noConversion"/>
  </si>
  <si>
    <t>GS25 오창낭만점</t>
    <phoneticPr fontId="1" type="noConversion"/>
  </si>
  <si>
    <t>2산단1로</t>
    <phoneticPr fontId="1" type="noConversion"/>
  </si>
  <si>
    <t>주성1길</t>
    <phoneticPr fontId="1" type="noConversion"/>
  </si>
  <si>
    <t>세븐일레븐 청주오창센터점</t>
    <phoneticPr fontId="1" type="noConversion"/>
  </si>
  <si>
    <t>네패스엘이디 오창2공장</t>
    <phoneticPr fontId="1" type="noConversion"/>
  </si>
  <si>
    <t>양청4길</t>
    <phoneticPr fontId="1" type="noConversion"/>
  </si>
  <si>
    <t>세븐일레븐청원오창양청고점</t>
    <phoneticPr fontId="1" type="noConversion"/>
  </si>
  <si>
    <t>연구단지로</t>
    <phoneticPr fontId="1" type="noConversion"/>
  </si>
  <si>
    <t>국가영장류센터</t>
    <phoneticPr fontId="1" type="noConversion"/>
  </si>
  <si>
    <t>중심상업2로</t>
    <phoneticPr fontId="1" type="noConversion"/>
  </si>
  <si>
    <t>충북지방중소벤처기업청</t>
    <phoneticPr fontId="1" type="noConversion"/>
  </si>
  <si>
    <t>양청공원</t>
    <phoneticPr fontId="1" type="noConversion"/>
  </si>
  <si>
    <t>오창공원로</t>
    <phoneticPr fontId="1" type="noConversion"/>
  </si>
  <si>
    <t>오창호수공원</t>
    <phoneticPr fontId="1" type="noConversion"/>
  </si>
  <si>
    <t>오창중앙로</t>
    <phoneticPr fontId="1" type="noConversion"/>
  </si>
  <si>
    <t>각리초등학교</t>
    <phoneticPr fontId="1" type="noConversion"/>
  </si>
  <si>
    <t>0.어9호공원~오창중앙병원</t>
    <phoneticPr fontId="1" type="noConversion"/>
  </si>
  <si>
    <t>오창중앙병원</t>
    <phoneticPr fontId="1" type="noConversion"/>
  </si>
  <si>
    <t>과학산업3로</t>
    <phoneticPr fontId="1" type="noConversion"/>
  </si>
  <si>
    <t>0.하워드존슨청주호텔 앞 도로</t>
    <phoneticPr fontId="1" type="noConversion"/>
  </si>
  <si>
    <t>구룡택지1로</t>
    <phoneticPr fontId="1" type="noConversion"/>
  </si>
  <si>
    <t>청원고등학교</t>
    <phoneticPr fontId="1" type="noConversion"/>
  </si>
  <si>
    <t>구룡택지로</t>
    <phoneticPr fontId="1" type="noConversion"/>
  </si>
  <si>
    <t>비봉초등학교</t>
    <phoneticPr fontId="1" type="noConversion"/>
  </si>
  <si>
    <t>과학산업5로</t>
    <phoneticPr fontId="1" type="noConversion"/>
  </si>
  <si>
    <t>오창대교회</t>
    <phoneticPr fontId="1" type="noConversion"/>
  </si>
  <si>
    <t>과학산업4로</t>
    <phoneticPr fontId="1" type="noConversion"/>
  </si>
  <si>
    <t>심택오창공장</t>
    <phoneticPr fontId="1" type="noConversion"/>
  </si>
  <si>
    <t>오송생명로</t>
    <phoneticPr fontId="1" type="noConversion"/>
  </si>
  <si>
    <t>만수공원</t>
    <phoneticPr fontId="1" type="noConversion"/>
  </si>
  <si>
    <t>오송호수공원</t>
    <phoneticPr fontId="1" type="noConversion"/>
  </si>
  <si>
    <t>오송생명1로</t>
    <phoneticPr fontId="1" type="noConversion"/>
  </si>
  <si>
    <t>오송생명3로</t>
    <phoneticPr fontId="1" type="noConversion"/>
  </si>
  <si>
    <t>오송가락로</t>
    <phoneticPr fontId="1" type="noConversion"/>
  </si>
  <si>
    <t>오송중학교</t>
    <phoneticPr fontId="1" type="noConversion"/>
  </si>
  <si>
    <t>오송역</t>
    <phoneticPr fontId="1" type="noConversion"/>
  </si>
  <si>
    <t>관광레저</t>
    <phoneticPr fontId="1" type="noConversion"/>
  </si>
  <si>
    <t>LG화학 오송공장</t>
    <phoneticPr fontId="1" type="noConversion"/>
  </si>
  <si>
    <t>충북보건환경연구원</t>
    <phoneticPr fontId="1" type="noConversion"/>
  </si>
  <si>
    <t>오송생명2로</t>
    <phoneticPr fontId="1" type="noConversion"/>
  </si>
  <si>
    <t>연세대학교의료원산학협력단</t>
    <phoneticPr fontId="1" type="noConversion"/>
  </si>
  <si>
    <t>오송고등학교</t>
    <phoneticPr fontId="1" type="noConversion"/>
  </si>
  <si>
    <t>오송유치원</t>
    <phoneticPr fontId="1" type="noConversion"/>
  </si>
  <si>
    <t>오송생명4로</t>
    <phoneticPr fontId="1" type="noConversion"/>
  </si>
  <si>
    <t>상정4교</t>
    <phoneticPr fontId="1" type="noConversion"/>
  </si>
  <si>
    <t>정중연제로</t>
    <phoneticPr fontId="1" type="noConversion"/>
  </si>
  <si>
    <t>상정2교</t>
    <phoneticPr fontId="1" type="noConversion"/>
  </si>
  <si>
    <t>오송생명5로</t>
    <phoneticPr fontId="1" type="noConversion"/>
  </si>
  <si>
    <t>오송생명6로</t>
    <phoneticPr fontId="1" type="noConversion"/>
  </si>
  <si>
    <t>0.가</t>
    <phoneticPr fontId="1" type="noConversion"/>
  </si>
  <si>
    <t>0.나</t>
    <phoneticPr fontId="1" type="noConversion"/>
  </si>
  <si>
    <t>0.다</t>
    <phoneticPr fontId="1" type="noConversion"/>
  </si>
  <si>
    <t>0.라</t>
    <phoneticPr fontId="1" type="noConversion"/>
  </si>
  <si>
    <t>0.마</t>
    <phoneticPr fontId="1" type="noConversion"/>
  </si>
  <si>
    <t>0.바</t>
    <phoneticPr fontId="1" type="noConversion"/>
  </si>
  <si>
    <t>0.사</t>
    <phoneticPr fontId="1" type="noConversion"/>
  </si>
  <si>
    <t>0.아</t>
    <phoneticPr fontId="1" type="noConversion"/>
  </si>
  <si>
    <t>용암교</t>
    <phoneticPr fontId="1" type="noConversion"/>
  </si>
  <si>
    <t>엘지로</t>
    <phoneticPr fontId="1" type="noConversion"/>
  </si>
  <si>
    <t>외북동 산 66-5</t>
    <phoneticPr fontId="1" type="noConversion"/>
  </si>
  <si>
    <t>LS산전 청주2공장</t>
    <phoneticPr fontId="1" type="noConversion"/>
  </si>
  <si>
    <t>중심상업로</t>
    <phoneticPr fontId="1" type="noConversion"/>
  </si>
  <si>
    <t>봉명중학교</t>
    <phoneticPr fontId="1" type="noConversion"/>
  </si>
  <si>
    <t>직지대로753번길</t>
    <phoneticPr fontId="1" type="noConversion"/>
  </si>
  <si>
    <t>국민건강보험공단</t>
    <phoneticPr fontId="1" type="noConversion"/>
  </si>
  <si>
    <t>가경2교</t>
    <phoneticPr fontId="1" type="noConversion"/>
  </si>
  <si>
    <t>홈플러스 청주성안점</t>
    <phoneticPr fontId="1" type="noConversion"/>
  </si>
  <si>
    <t>창성유치원</t>
    <phoneticPr fontId="1" type="noConversion"/>
  </si>
  <si>
    <t>상당초등학교</t>
    <phoneticPr fontId="1" type="noConversion"/>
  </si>
  <si>
    <t>운동초등학교</t>
    <phoneticPr fontId="1" type="noConversion"/>
  </si>
  <si>
    <t>태성탑연로</t>
    <phoneticPr fontId="1" type="noConversion"/>
  </si>
  <si>
    <t>탑연월곡길</t>
    <phoneticPr fontId="1" type="noConversion"/>
  </si>
  <si>
    <t>무심서로 623</t>
    <phoneticPr fontId="1" type="noConversion"/>
  </si>
  <si>
    <t>청주시사회복지협의회</t>
    <phoneticPr fontId="1" type="noConversion"/>
  </si>
  <si>
    <t>사직대로 343</t>
    <phoneticPr fontId="1" type="noConversion"/>
  </si>
  <si>
    <t>청주대교사거리</t>
    <phoneticPr fontId="1" type="noConversion"/>
  </si>
  <si>
    <t>빨강,회색</t>
  </si>
  <si>
    <t>빨강,회색</t>
    <phoneticPr fontId="1" type="noConversion"/>
  </si>
  <si>
    <t>회색,초록,검정</t>
    <phoneticPr fontId="1" type="noConversion"/>
  </si>
  <si>
    <t>초록,회색</t>
  </si>
  <si>
    <t>초록,회색</t>
    <phoneticPr fontId="1" type="noConversion"/>
  </si>
  <si>
    <t>빨강</t>
  </si>
  <si>
    <t>회색,빨강</t>
  </si>
  <si>
    <t>회색,빨강</t>
    <phoneticPr fontId="1" type="noConversion"/>
  </si>
  <si>
    <t>암적,빨강</t>
  </si>
  <si>
    <t>암적,빨강,회색</t>
  </si>
  <si>
    <t>초록</t>
  </si>
  <si>
    <t>암적,초록,회색</t>
  </si>
  <si>
    <t>암적,초록</t>
  </si>
  <si>
    <t>초록,암적</t>
  </si>
  <si>
    <t>빨강,녹/적</t>
    <phoneticPr fontId="1" type="noConversion"/>
  </si>
  <si>
    <t>보도블럭,아스콘</t>
  </si>
  <si>
    <t>회색,황토</t>
    <phoneticPr fontId="1" type="noConversion"/>
  </si>
  <si>
    <t>황토,검정</t>
    <phoneticPr fontId="1" type="noConversion"/>
  </si>
  <si>
    <t>암적,빨강,검정</t>
    <phoneticPr fontId="1" type="noConversion"/>
  </si>
  <si>
    <t>암적,회색,빨강</t>
    <phoneticPr fontId="1" type="noConversion"/>
  </si>
  <si>
    <t>투수블럭,보도블럭</t>
    <phoneticPr fontId="1" type="noConversion"/>
  </si>
  <si>
    <t>보도블럭,아스콘,탄성블럭</t>
    <phoneticPr fontId="1" type="noConversion"/>
  </si>
  <si>
    <t>투수블럭</t>
    <phoneticPr fontId="1" type="noConversion"/>
  </si>
  <si>
    <t>보도블럭,투수블럭</t>
    <phoneticPr fontId="1" type="noConversion"/>
  </si>
  <si>
    <t>아스콘,보도블럭,투수블럭</t>
    <phoneticPr fontId="1" type="noConversion"/>
  </si>
  <si>
    <t>적/회</t>
    <phoneticPr fontId="1" type="noConversion"/>
  </si>
  <si>
    <t>내덕동 309-2</t>
    <phoneticPr fontId="1" type="noConversion"/>
  </si>
  <si>
    <t>청북교차로</t>
    <phoneticPr fontId="1" type="noConversion"/>
  </si>
  <si>
    <t>내덕1동주민센터</t>
    <phoneticPr fontId="1" type="noConversion"/>
  </si>
  <si>
    <t>적/회,빨강</t>
    <phoneticPr fontId="1" type="noConversion"/>
  </si>
  <si>
    <t>암적,황토</t>
    <phoneticPr fontId="1" type="noConversion"/>
  </si>
  <si>
    <t>과상미로59번길</t>
    <phoneticPr fontId="1" type="noConversion"/>
  </si>
  <si>
    <t>가경동 1542-2</t>
    <phoneticPr fontId="1" type="noConversion"/>
  </si>
  <si>
    <t>적/회,초록</t>
    <phoneticPr fontId="1" type="noConversion"/>
  </si>
  <si>
    <t>암적,초록,회색</t>
    <phoneticPr fontId="1" type="noConversion"/>
  </si>
  <si>
    <t>아스콘,투수블럭</t>
    <phoneticPr fontId="1" type="noConversion"/>
  </si>
  <si>
    <t>암적,적/회</t>
    <phoneticPr fontId="1" type="noConversion"/>
  </si>
  <si>
    <t>회색,적/회</t>
    <phoneticPr fontId="1" type="noConversion"/>
  </si>
  <si>
    <t>빨강,초록</t>
    <phoneticPr fontId="1" type="noConversion"/>
  </si>
  <si>
    <t>회색,초록</t>
    <phoneticPr fontId="1" type="noConversion"/>
  </si>
  <si>
    <t>보도블럭,아스콘,투수블럭</t>
    <phoneticPr fontId="1" type="noConversion"/>
  </si>
  <si>
    <t>회색,초록,적/회</t>
    <phoneticPr fontId="1" type="noConversion"/>
  </si>
  <si>
    <t>빨강,적/회</t>
    <phoneticPr fontId="1" type="noConversion"/>
  </si>
  <si>
    <t>암적,적/회,녹/적</t>
    <phoneticPr fontId="1" type="noConversion"/>
  </si>
  <si>
    <t>초록,회색,적/회</t>
    <phoneticPr fontId="1" type="noConversion"/>
  </si>
  <si>
    <t>적/회,빨강,암적</t>
    <phoneticPr fontId="1" type="noConversion"/>
  </si>
  <si>
    <t>장전로32번길 9</t>
    <phoneticPr fontId="1" type="noConversion"/>
  </si>
  <si>
    <t>신화로32번길 2</t>
    <phoneticPr fontId="1" type="noConversion"/>
  </si>
  <si>
    <t>성봉로</t>
    <phoneticPr fontId="1" type="noConversion"/>
  </si>
  <si>
    <t>신화로</t>
    <phoneticPr fontId="1" type="noConversion"/>
  </si>
  <si>
    <t>투수블럭,보도블럭,아스콘</t>
    <phoneticPr fontId="1" type="noConversion"/>
  </si>
  <si>
    <t>회색,황토,적/회,암적</t>
    <phoneticPr fontId="1" type="noConversion"/>
  </si>
  <si>
    <t>검정,암적,회색</t>
    <phoneticPr fontId="1" type="noConversion"/>
  </si>
  <si>
    <t>노랑,녹/회</t>
    <phoneticPr fontId="1" type="noConversion"/>
  </si>
  <si>
    <t>노랑,황토</t>
    <phoneticPr fontId="1" type="noConversion"/>
  </si>
  <si>
    <t>녹/황</t>
    <phoneticPr fontId="1" type="noConversion"/>
  </si>
  <si>
    <t>황토</t>
    <phoneticPr fontId="1" type="noConversion"/>
  </si>
  <si>
    <t>투수블럭,아스콘</t>
    <phoneticPr fontId="1" type="noConversion"/>
  </si>
  <si>
    <t>황토,빨강</t>
    <phoneticPr fontId="1" type="noConversion"/>
  </si>
  <si>
    <t>적/회,회색</t>
    <phoneticPr fontId="1" type="noConversion"/>
  </si>
  <si>
    <t>황토,암적,적/회,녹색</t>
    <phoneticPr fontId="1" type="noConversion"/>
  </si>
  <si>
    <t>초록,암적</t>
    <phoneticPr fontId="1" type="noConversion"/>
  </si>
  <si>
    <t>빨강,암적</t>
    <phoneticPr fontId="1" type="noConversion"/>
  </si>
  <si>
    <t>적/녹</t>
    <phoneticPr fontId="1" type="noConversion"/>
  </si>
  <si>
    <t>0.청주시립도서관, 임광아파트 사이 보도</t>
    <phoneticPr fontId="1" type="noConversion"/>
  </si>
  <si>
    <t>적/회,암적,검정</t>
    <phoneticPr fontId="1" type="noConversion"/>
  </si>
  <si>
    <t>아스콘,탄성콘</t>
    <phoneticPr fontId="1" type="noConversion"/>
  </si>
  <si>
    <t>회색,암적</t>
    <phoneticPr fontId="1" type="noConversion"/>
  </si>
  <si>
    <t>암적,빨강</t>
    <phoneticPr fontId="1" type="noConversion"/>
  </si>
  <si>
    <t>회색,빨강,적/회</t>
    <phoneticPr fontId="1" type="noConversion"/>
  </si>
  <si>
    <t>콘크리트</t>
    <phoneticPr fontId="1" type="noConversion"/>
  </si>
  <si>
    <t>암적,검정</t>
    <phoneticPr fontId="1" type="noConversion"/>
  </si>
  <si>
    <t>황/회,적/회,회색</t>
    <phoneticPr fontId="1" type="noConversion"/>
  </si>
  <si>
    <t>보도블럭,투수블럭,아스콘</t>
    <phoneticPr fontId="1" type="noConversion"/>
  </si>
  <si>
    <t>검정</t>
    <phoneticPr fontId="1" type="noConversion"/>
  </si>
  <si>
    <t>암적/검정</t>
    <phoneticPr fontId="1" type="noConversion"/>
  </si>
  <si>
    <t>금강자전거길</t>
    <phoneticPr fontId="1" type="noConversion"/>
  </si>
  <si>
    <t>현도면 중척리 629-3</t>
    <phoneticPr fontId="1" type="noConversion"/>
  </si>
  <si>
    <t>양지1교</t>
    <phoneticPr fontId="1" type="noConversion"/>
  </si>
  <si>
    <t>적/회,황토</t>
    <phoneticPr fontId="1" type="noConversion"/>
  </si>
  <si>
    <t>초록,빨강</t>
    <phoneticPr fontId="1" type="noConversion"/>
  </si>
  <si>
    <t>사운로 174</t>
    <phoneticPr fontId="1" type="noConversion"/>
  </si>
  <si>
    <t>사운로174번길</t>
    <phoneticPr fontId="1" type="noConversion"/>
  </si>
  <si>
    <t>사운로145번길 4</t>
    <phoneticPr fontId="1" type="noConversion"/>
  </si>
  <si>
    <t>사운로145번길</t>
    <phoneticPr fontId="1" type="noConversion"/>
  </si>
  <si>
    <t>사운로 152-1</t>
    <phoneticPr fontId="1" type="noConversion"/>
  </si>
  <si>
    <t>서원초등학교총동문회건물</t>
    <phoneticPr fontId="1" type="noConversion"/>
  </si>
  <si>
    <t>사운로 81</t>
    <phoneticPr fontId="1" type="noConversion"/>
  </si>
  <si>
    <t>사직대로 284</t>
    <phoneticPr fontId="1" type="noConversion"/>
  </si>
  <si>
    <t>사운로 3</t>
    <phoneticPr fontId="1" type="noConversion"/>
  </si>
  <si>
    <t>병무청사거리</t>
    <phoneticPr fontId="1" type="noConversion"/>
  </si>
  <si>
    <t>적/회,암적</t>
    <phoneticPr fontId="1" type="noConversion"/>
  </si>
  <si>
    <t>적/회,초록,회색</t>
    <phoneticPr fontId="1" type="noConversion"/>
  </si>
  <si>
    <t>암적,회색,적/회,적/토</t>
    <phoneticPr fontId="1" type="noConversion"/>
  </si>
  <si>
    <t>장평교</t>
    <phoneticPr fontId="1" type="noConversion"/>
  </si>
  <si>
    <t>무심서로 205</t>
    <phoneticPr fontId="1" type="noConversion"/>
  </si>
  <si>
    <t>분평초등학교</t>
    <phoneticPr fontId="1" type="noConversion"/>
  </si>
  <si>
    <t>분평동 1363</t>
    <phoneticPr fontId="1" type="noConversion"/>
  </si>
  <si>
    <t>청주하이텍고등학교</t>
    <phoneticPr fontId="1" type="noConversion"/>
  </si>
  <si>
    <t>예체로 30</t>
    <phoneticPr fontId="1" type="noConversion"/>
  </si>
  <si>
    <t>사직동 933</t>
    <phoneticPr fontId="1" type="noConversion"/>
  </si>
  <si>
    <t>푸르지오캐슬아파트출입구</t>
    <phoneticPr fontId="1" type="noConversion"/>
  </si>
  <si>
    <t>0.옥산생활체육공원 앞 도로</t>
    <phoneticPr fontId="1" type="noConversion"/>
  </si>
  <si>
    <t>회남문의로</t>
    <phoneticPr fontId="1" type="noConversion"/>
  </si>
  <si>
    <t/>
  </si>
  <si>
    <t>0.홈플러스청주점, 서울곽치과 사이 도로</t>
    <phoneticPr fontId="1" type="noConversion"/>
  </si>
  <si>
    <t>통학</t>
    <phoneticPr fontId="1" type="noConversion"/>
  </si>
  <si>
    <t>통근,통학</t>
    <phoneticPr fontId="1" type="noConversion"/>
  </si>
  <si>
    <t>통근,관광레저</t>
    <phoneticPr fontId="1" type="noConversion"/>
  </si>
  <si>
    <t>통학,관광레저</t>
    <phoneticPr fontId="1" type="noConversion"/>
  </si>
  <si>
    <t>통근</t>
    <phoneticPr fontId="1" type="noConversion"/>
  </si>
  <si>
    <t>용호로</t>
    <phoneticPr fontId="1" type="noConversion"/>
  </si>
  <si>
    <t>0.오리온청주공장,디케이코리아 사이길</t>
    <phoneticPr fontId="1" type="noConversion"/>
  </si>
  <si>
    <t>대성로 303</t>
    <phoneticPr fontId="1" type="noConversion"/>
  </si>
  <si>
    <t>성안동주민센터</t>
    <phoneticPr fontId="1" type="noConversion"/>
  </si>
  <si>
    <t>대성로 72</t>
    <phoneticPr fontId="1" type="noConversion"/>
  </si>
  <si>
    <t>충청북도교육과학연구원</t>
    <phoneticPr fontId="1" type="noConversion"/>
  </si>
  <si>
    <t>통학</t>
    <phoneticPr fontId="1" type="noConversion"/>
  </si>
  <si>
    <t>미원자전거길</t>
    <phoneticPr fontId="1" type="noConversion"/>
  </si>
  <si>
    <t>관광레저</t>
    <phoneticPr fontId="1" type="noConversion"/>
  </si>
  <si>
    <t>통근</t>
    <phoneticPr fontId="1" type="noConversion"/>
  </si>
  <si>
    <t>통근,통학</t>
    <phoneticPr fontId="1" type="noConversion"/>
  </si>
  <si>
    <t>통학,관광레저</t>
    <phoneticPr fontId="1" type="noConversion"/>
  </si>
  <si>
    <t>통학</t>
    <phoneticPr fontId="1" type="noConversion"/>
  </si>
  <si>
    <t>0.흥덕고 왼쪽에서 시작하는 자전거길</t>
    <phoneticPr fontId="1" type="noConversion"/>
  </si>
  <si>
    <t>통근,통학,관광레저</t>
    <phoneticPr fontId="1" type="noConversion"/>
  </si>
  <si>
    <t>오창대로</t>
    <phoneticPr fontId="1" type="noConversion"/>
  </si>
  <si>
    <t>0.오창사거리 서쪽 하천제방길</t>
    <phoneticPr fontId="1" type="noConversion"/>
  </si>
  <si>
    <t>보도(비분리형)</t>
    <phoneticPr fontId="1" type="noConversion"/>
  </si>
  <si>
    <t>자전거우선도로(c)</t>
    <phoneticPr fontId="1" type="noConversion"/>
  </si>
  <si>
    <t>영운천자전거길</t>
    <phoneticPr fontId="1" type="noConversion"/>
  </si>
  <si>
    <t>직지대로291번길</t>
    <phoneticPr fontId="1" type="noConversion"/>
  </si>
  <si>
    <t>향정동 131-17</t>
    <phoneticPr fontId="1" type="noConversion"/>
  </si>
  <si>
    <t>향정동 43-2</t>
  </si>
  <si>
    <t>직지대로</t>
    <phoneticPr fontId="1" type="noConversion"/>
  </si>
  <si>
    <t>통근</t>
    <phoneticPr fontId="1" type="noConversion"/>
  </si>
  <si>
    <t>암적</t>
    <phoneticPr fontId="1" type="noConversion"/>
  </si>
  <si>
    <t>아스콘</t>
    <phoneticPr fontId="1" type="noConversion"/>
  </si>
  <si>
    <t>월명로</t>
    <phoneticPr fontId="1" type="noConversion"/>
  </si>
  <si>
    <t>송절로</t>
    <phoneticPr fontId="1" type="noConversion"/>
  </si>
  <si>
    <t>봉명동 2282</t>
    <phoneticPr fontId="1" type="noConversion"/>
  </si>
  <si>
    <t>백봉로</t>
    <phoneticPr fontId="1" type="noConversion"/>
  </si>
  <si>
    <t>봉명동 2196-2</t>
    <phoneticPr fontId="1" type="noConversion"/>
  </si>
  <si>
    <t>봉명고등학교</t>
    <phoneticPr fontId="1" type="noConversion"/>
  </si>
  <si>
    <t>회색,암적</t>
    <phoneticPr fontId="1" type="noConversion"/>
  </si>
  <si>
    <t>보도블럭</t>
    <phoneticPr fontId="1" type="noConversion"/>
  </si>
  <si>
    <t>암적</t>
    <phoneticPr fontId="1" type="noConversion"/>
  </si>
  <si>
    <t>보도블럭,아스콘</t>
    <phoneticPr fontId="1" type="noConversion"/>
  </si>
  <si>
    <t>송절로 102</t>
    <phoneticPr fontId="1" type="noConversion"/>
  </si>
  <si>
    <t>송절중학교</t>
    <phoneticPr fontId="1" type="noConversion"/>
  </si>
  <si>
    <t>회색</t>
    <phoneticPr fontId="1" type="noConversion"/>
  </si>
  <si>
    <t>월명로236번길</t>
    <phoneticPr fontId="1" type="noConversion"/>
  </si>
  <si>
    <t>송절로76번길</t>
    <phoneticPr fontId="1" type="noConversion"/>
  </si>
  <si>
    <t>덕암로29번길</t>
    <phoneticPr fontId="1" type="noConversion"/>
  </si>
  <si>
    <t>덕암로30번길</t>
    <phoneticPr fontId="1" type="noConversion"/>
  </si>
  <si>
    <t>백봉로197번길</t>
    <phoneticPr fontId="1" type="noConversion"/>
  </si>
  <si>
    <t>덕암로47번길</t>
    <phoneticPr fontId="1" type="noConversion"/>
  </si>
  <si>
    <t>덕암로</t>
    <phoneticPr fontId="1" type="noConversion"/>
  </si>
  <si>
    <t>월명로 249</t>
    <phoneticPr fontId="1" type="noConversion"/>
  </si>
  <si>
    <t>월명로201번길 31</t>
    <phoneticPr fontId="1" type="noConversion"/>
  </si>
  <si>
    <t>금천동 323</t>
    <phoneticPr fontId="1" type="noConversion"/>
  </si>
  <si>
    <t>용암동 2082</t>
    <phoneticPr fontId="1" type="noConversion"/>
  </si>
  <si>
    <t>중흥공원</t>
    <phoneticPr fontId="1" type="noConversion"/>
  </si>
  <si>
    <t>오창읍 주성리 565</t>
    <phoneticPr fontId="1" type="noConversion"/>
  </si>
  <si>
    <t>창리초등학교</t>
    <phoneticPr fontId="1" type="noConversion"/>
  </si>
  <si>
    <t>오창읍 주성리 576</t>
    <phoneticPr fontId="1" type="noConversion"/>
  </si>
  <si>
    <t>오창지구대</t>
    <phoneticPr fontId="1" type="noConversion"/>
  </si>
  <si>
    <t>과학산업1로</t>
    <phoneticPr fontId="1" type="noConversion"/>
  </si>
  <si>
    <t>과학산업1로</t>
    <phoneticPr fontId="1" type="noConversion"/>
  </si>
  <si>
    <t>옥산면 남촌리 1112-8</t>
    <phoneticPr fontId="1" type="noConversion"/>
  </si>
  <si>
    <t>과학산업2로</t>
    <phoneticPr fontId="1" type="noConversion"/>
  </si>
  <si>
    <t>옥산면 남촌리 1112-6</t>
    <phoneticPr fontId="1" type="noConversion"/>
  </si>
  <si>
    <t>오창읍 송대리 330</t>
    <phoneticPr fontId="1" type="noConversion"/>
  </si>
  <si>
    <t>에코프로</t>
    <phoneticPr fontId="1" type="noConversion"/>
  </si>
  <si>
    <t>오송읍 만수리 504</t>
    <phoneticPr fontId="1" type="noConversion"/>
  </si>
  <si>
    <t>환호공원</t>
    <phoneticPr fontId="1" type="noConversion"/>
  </si>
  <si>
    <t>오송생명5로</t>
    <phoneticPr fontId="1" type="noConversion"/>
  </si>
  <si>
    <t>오송읍 만수리 503</t>
    <phoneticPr fontId="1" type="noConversion"/>
  </si>
  <si>
    <t>오송생명1로</t>
    <phoneticPr fontId="1" type="noConversion"/>
  </si>
  <si>
    <t>오송읍 연제리 698</t>
    <phoneticPr fontId="1" type="noConversion"/>
  </si>
  <si>
    <t>목송공원</t>
    <phoneticPr fontId="1" type="noConversion"/>
  </si>
  <si>
    <t>메드트로닉이노베이션센터</t>
    <phoneticPr fontId="1" type="noConversion"/>
  </si>
  <si>
    <t>오송융합바이오소재센터</t>
    <phoneticPr fontId="1" type="noConversion"/>
  </si>
  <si>
    <t>오송생명3로</t>
    <phoneticPr fontId="1" type="noConversion"/>
  </si>
  <si>
    <t>오송가락로</t>
    <phoneticPr fontId="1" type="noConversion"/>
  </si>
  <si>
    <t>코미팜 오송공장</t>
    <phoneticPr fontId="1" type="noConversion"/>
  </si>
  <si>
    <t>대청대교</t>
    <phoneticPr fontId="1" type="noConversion"/>
  </si>
  <si>
    <t>노산1교차로</t>
    <phoneticPr fontId="1" type="noConversion"/>
  </si>
  <si>
    <t>문화재조사연구단청주사무소</t>
    <phoneticPr fontId="1" type="noConversion"/>
  </si>
  <si>
    <t>회색,초록</t>
    <phoneticPr fontId="1" type="noConversion"/>
  </si>
  <si>
    <t>보도블럭,아스콘</t>
    <phoneticPr fontId="1" type="noConversion"/>
  </si>
  <si>
    <t>암적</t>
    <phoneticPr fontId="1" type="noConversion"/>
  </si>
  <si>
    <t>보도블럭,탄성콘</t>
    <phoneticPr fontId="1" type="noConversion"/>
  </si>
  <si>
    <t>명암저수지</t>
    <phoneticPr fontId="1" type="noConversion"/>
  </si>
  <si>
    <t>암적,적/회,회색</t>
    <phoneticPr fontId="1" type="noConversion"/>
  </si>
  <si>
    <t>보도블럭,투수블럭</t>
    <phoneticPr fontId="1" type="noConversion"/>
  </si>
  <si>
    <t>개신동 산 93-3</t>
    <phoneticPr fontId="1" type="noConversion"/>
  </si>
  <si>
    <t>상원빌딩</t>
    <phoneticPr fontId="1" type="noConversion"/>
  </si>
  <si>
    <t>한길교회</t>
    <phoneticPr fontId="1" type="noConversion"/>
  </si>
  <si>
    <t>봉명동 2342</t>
    <phoneticPr fontId="1" type="noConversion"/>
  </si>
  <si>
    <t>월명로</t>
    <phoneticPr fontId="1" type="noConversion"/>
  </si>
  <si>
    <t>덕암로47번길</t>
    <phoneticPr fontId="1" type="noConversion"/>
  </si>
  <si>
    <t>봉명동 2371-2</t>
    <phoneticPr fontId="1" type="noConversion"/>
  </si>
  <si>
    <t>흥덕경찰서</t>
    <phoneticPr fontId="1" type="noConversion"/>
  </si>
  <si>
    <t>봉명동 2298</t>
    <phoneticPr fontId="1" type="noConversion"/>
  </si>
  <si>
    <t>송절로</t>
    <phoneticPr fontId="1" type="noConversion"/>
  </si>
  <si>
    <t>월명로236번길</t>
    <phoneticPr fontId="1" type="noConversion"/>
  </si>
  <si>
    <t>봉명동 2351</t>
    <phoneticPr fontId="1" type="noConversion"/>
  </si>
  <si>
    <t>월드카센타</t>
    <phoneticPr fontId="1" type="noConversion"/>
  </si>
  <si>
    <t>봉명동 2443</t>
    <phoneticPr fontId="1" type="noConversion"/>
  </si>
  <si>
    <t>봉명동 2457</t>
    <phoneticPr fontId="1" type="noConversion"/>
  </si>
  <si>
    <t>석진금속㈜</t>
    <phoneticPr fontId="1" type="noConversion"/>
  </si>
  <si>
    <t>덕암로</t>
    <phoneticPr fontId="1" type="noConversion"/>
  </si>
  <si>
    <t>봉명동 2759</t>
    <phoneticPr fontId="1" type="noConversion"/>
  </si>
  <si>
    <t>봉명동 2844-3</t>
    <phoneticPr fontId="1" type="noConversion"/>
  </si>
  <si>
    <t>월명로178번길</t>
    <phoneticPr fontId="1" type="noConversion"/>
  </si>
  <si>
    <t>군산활어도매시장</t>
    <phoneticPr fontId="1" type="noConversion"/>
  </si>
  <si>
    <t>봉명동 2848</t>
    <phoneticPr fontId="1" type="noConversion"/>
  </si>
  <si>
    <t>백봉로</t>
    <phoneticPr fontId="1" type="noConversion"/>
  </si>
  <si>
    <t>봉명동 2861</t>
    <phoneticPr fontId="1" type="noConversion"/>
  </si>
  <si>
    <t>새마을금고흥덕봉정지점</t>
    <phoneticPr fontId="1" type="noConversion"/>
  </si>
  <si>
    <t>봉명동 2266-1</t>
    <phoneticPr fontId="1" type="noConversion"/>
  </si>
  <si>
    <t>봉명동 2476</t>
    <phoneticPr fontId="1" type="noConversion"/>
  </si>
  <si>
    <t>예수소망교회</t>
    <phoneticPr fontId="1" type="noConversion"/>
  </si>
  <si>
    <t>월명로</t>
    <phoneticPr fontId="1" type="noConversion"/>
  </si>
  <si>
    <t>봉명동 2803</t>
    <phoneticPr fontId="1" type="noConversion"/>
  </si>
  <si>
    <t>봉명동 2679</t>
    <phoneticPr fontId="1" type="noConversion"/>
  </si>
  <si>
    <t>봉덕초등학교</t>
    <phoneticPr fontId="1" type="noConversion"/>
  </si>
  <si>
    <t>송정동 산 34-28</t>
    <phoneticPr fontId="1" type="noConversion"/>
  </si>
  <si>
    <t>농수산물시장삼거리</t>
    <phoneticPr fontId="1" type="noConversion"/>
  </si>
  <si>
    <t>신봉동 94-5</t>
    <phoneticPr fontId="1" type="noConversion"/>
  </si>
  <si>
    <t>청주시농수산물도매시장</t>
    <phoneticPr fontId="1" type="noConversion"/>
  </si>
  <si>
    <t>통근</t>
    <phoneticPr fontId="1" type="noConversion"/>
  </si>
  <si>
    <t>통근,통학</t>
    <phoneticPr fontId="1" type="noConversion"/>
  </si>
  <si>
    <t>통학</t>
    <phoneticPr fontId="1" type="noConversion"/>
  </si>
  <si>
    <t>0.가마힐데스하임아파트 진입로</t>
    <phoneticPr fontId="1" type="noConversion"/>
  </si>
  <si>
    <t>0.우미린에듀파크2단지아파트 진입로</t>
    <phoneticPr fontId="1" type="noConversion"/>
  </si>
  <si>
    <t>0.청주공항 북동쪽 도로</t>
    <phoneticPr fontId="1" type="noConversion"/>
  </si>
  <si>
    <t>0.명암저수지 남측 도로</t>
    <phoneticPr fontId="1" type="noConversion"/>
  </si>
  <si>
    <t>0.명암저수지 동측 보도</t>
    <phoneticPr fontId="1" type="noConversion"/>
  </si>
  <si>
    <t>0.명암유원지 북측 도로</t>
    <phoneticPr fontId="1" type="noConversion"/>
  </si>
  <si>
    <t>노선연장
(km)</t>
    <phoneticPr fontId="1" type="noConversion"/>
  </si>
  <si>
    <t>총연장(m)
(a+c+d+e)</t>
    <phoneticPr fontId="2" type="noConversion"/>
  </si>
  <si>
    <t>연장
(m)</t>
    <phoneticPr fontId="2" type="noConversion"/>
  </si>
  <si>
    <t>새마을금고 성화지점</t>
    <phoneticPr fontId="1" type="noConversion"/>
  </si>
  <si>
    <t>율봉로</t>
    <phoneticPr fontId="1" type="noConversion"/>
  </si>
  <si>
    <t>율봉로116번길</t>
    <phoneticPr fontId="1" type="noConversion"/>
  </si>
  <si>
    <t>율량동 1303</t>
    <phoneticPr fontId="1" type="noConversion"/>
  </si>
  <si>
    <t>율봉로 144</t>
    <phoneticPr fontId="1" type="noConversion"/>
  </si>
  <si>
    <t>율량농협사거리</t>
    <phoneticPr fontId="1" type="noConversion"/>
  </si>
  <si>
    <t>GS수퍼마켓청주율량점</t>
    <phoneticPr fontId="1" type="noConversion"/>
  </si>
  <si>
    <t>회색</t>
    <phoneticPr fontId="1" type="noConversion"/>
  </si>
  <si>
    <t>보도블럭</t>
    <phoneticPr fontId="1" type="noConversion"/>
  </si>
  <si>
    <t>암적</t>
    <phoneticPr fontId="1" type="noConversion"/>
  </si>
  <si>
    <t>율량동 500-18</t>
    <phoneticPr fontId="1" type="noConversion"/>
  </si>
  <si>
    <t>율량로</t>
    <phoneticPr fontId="1" type="noConversion"/>
  </si>
  <si>
    <t>율봉로 272</t>
    <phoneticPr fontId="1" type="noConversion"/>
  </si>
  <si>
    <t>세븐일레븐청주율량센터점</t>
    <phoneticPr fontId="1" type="noConversion"/>
  </si>
  <si>
    <t>중부로</t>
    <phoneticPr fontId="1" type="noConversion"/>
  </si>
  <si>
    <t>통근</t>
    <phoneticPr fontId="1" type="noConversion"/>
  </si>
  <si>
    <t>적/회</t>
    <phoneticPr fontId="1" type="noConversion"/>
  </si>
  <si>
    <t>보도블럭</t>
    <phoneticPr fontId="1" type="noConversion"/>
  </si>
  <si>
    <t>셀트리온제약</t>
    <phoneticPr fontId="1" type="noConversion"/>
  </si>
  <si>
    <t>2산단로 82</t>
    <phoneticPr fontId="1" type="noConversion"/>
  </si>
  <si>
    <t>창리사거리</t>
    <phoneticPr fontId="1" type="noConversion"/>
  </si>
  <si>
    <t>오창읍 주성리 394</t>
    <phoneticPr fontId="1" type="noConversion"/>
  </si>
  <si>
    <t>오창대성베르힐아파트</t>
    <phoneticPr fontId="1" type="noConversion"/>
  </si>
  <si>
    <t>0.오송역내부도로</t>
    <phoneticPr fontId="1" type="noConversion"/>
  </si>
  <si>
    <t>강촌로 297</t>
    <phoneticPr fontId="1" type="noConversion"/>
  </si>
  <si>
    <t>직지대로 216</t>
    <phoneticPr fontId="1" type="noConversion"/>
  </si>
  <si>
    <t>중앙로 112</t>
    <phoneticPr fontId="1" type="noConversion"/>
  </si>
  <si>
    <t>문의자전거도로</t>
    <phoneticPr fontId="1" type="noConversion"/>
  </si>
  <si>
    <t>고은리 461-2</t>
    <phoneticPr fontId="1" type="noConversion"/>
  </si>
  <si>
    <t>호미로167번길 14</t>
    <phoneticPr fontId="1" type="noConversion"/>
  </si>
  <si>
    <t>서원구 분평동 6</t>
    <phoneticPr fontId="1" type="noConversion"/>
  </si>
  <si>
    <t>1순환로 1239</t>
    <phoneticPr fontId="1" type="noConversion"/>
  </si>
  <si>
    <t>1순환로 1233</t>
    <phoneticPr fontId="1" type="noConversion"/>
  </si>
  <si>
    <t>1순환로 1150</t>
    <phoneticPr fontId="1" type="noConversion"/>
  </si>
  <si>
    <t>분평동 413</t>
    <phoneticPr fontId="1" type="noConversion"/>
  </si>
  <si>
    <t>1순환로 1044</t>
    <phoneticPr fontId="1" type="noConversion"/>
  </si>
  <si>
    <t>1순환로 741</t>
    <phoneticPr fontId="1" type="noConversion"/>
  </si>
  <si>
    <t>1순환로 621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</si>
</sst>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_-* #,##0_-;\-* #,##0_-;_-* &quot;-&quot;?_-;_-@_-"/>
    <numFmt numFmtId="177" formatCode="_-* #,##0.00_-;\-* #,##0.00_-;_-* &quot;-&quot;?_-;_-@_-"/>
    <numFmt numFmtId="179" formatCode="0.0_);[Red]\(0.0\)"/>
    <numFmt numFmtId="182" formatCode="#,##0_);[Red]\(#,##0\)"/>
    <numFmt numFmtId="183" formatCode="0.00_);[Red]\(0.00\)"/>
    <numFmt numFmtId="184" formatCode="#,##0.00_);[Red]\(#,##0.00\)"/>
  </numFmts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name val="돋움"/>
      <family val="3"/>
      <charset val="129"/>
    </font>
    <font>
      <sz val="10"/>
      <color theme="1"/>
      <name val="돋움체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B0F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75">
    <xf numFmtId="0" fontId="0" fillId="0" borderId="0" xfId="0">
      <alignment vertical="center"/>
    </xf>
    <xf numFmtId="0" fontId="0" fillId="0" borderId="0" xfId="0" applyAlignment="1"/>
    <xf numFmtId="176" fontId="8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79" fontId="8" fillId="0" borderId="1" xfId="0" applyNumberFormat="1" applyFont="1" applyBorder="1" applyAlignment="1" applyProtection="1">
      <alignment horizontal="center" vertical="center"/>
      <protection locked="0"/>
    </xf>
    <xf numFmtId="179" fontId="8" fillId="3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 applyAlignment="1"/>
    <xf numFmtId="179" fontId="7" fillId="0" borderId="1" xfId="1" applyNumberFormat="1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/>
    </xf>
    <xf numFmtId="179" fontId="8" fillId="0" borderId="1" xfId="0" applyNumberFormat="1" applyFont="1" applyBorder="1" applyAlignment="1">
      <alignment horizontal="center"/>
    </xf>
    <xf numFmtId="179" fontId="7" fillId="0" borderId="1" xfId="1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/>
    </xf>
    <xf numFmtId="179" fontId="0" fillId="0" borderId="1" xfId="0" applyNumberFormat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/>
    </xf>
    <xf numFmtId="182" fontId="8" fillId="0" borderId="1" xfId="0" applyNumberFormat="1" applyFont="1" applyBorder="1" applyAlignment="1">
      <alignment horizontal="right" vertical="center"/>
    </xf>
    <xf numFmtId="182" fontId="7" fillId="0" borderId="1" xfId="0" applyNumberFormat="1" applyFont="1" applyBorder="1" applyAlignment="1">
      <alignment horizontal="right"/>
    </xf>
    <xf numFmtId="182" fontId="0" fillId="0" borderId="1" xfId="0" applyNumberFormat="1" applyBorder="1" applyAlignment="1">
      <alignment horizontal="right"/>
    </xf>
    <xf numFmtId="182" fontId="0" fillId="0" borderId="1" xfId="0" applyNumberFormat="1" applyBorder="1" applyAlignment="1">
      <alignment horizontal="right" vertical="center"/>
    </xf>
    <xf numFmtId="182" fontId="8" fillId="3" borderId="1" xfId="0" applyNumberFormat="1" applyFont="1" applyFill="1" applyBorder="1" applyAlignment="1">
      <alignment horizontal="right" vertical="center"/>
    </xf>
    <xf numFmtId="182" fontId="7" fillId="0" borderId="1" xfId="1" applyNumberFormat="1" applyFont="1" applyBorder="1" applyAlignment="1">
      <alignment horizontal="right" vertical="center"/>
    </xf>
    <xf numFmtId="182" fontId="8" fillId="0" borderId="1" xfId="0" applyNumberFormat="1" applyFont="1" applyBorder="1" applyAlignment="1">
      <alignment horizontal="right"/>
    </xf>
    <xf numFmtId="182" fontId="7" fillId="0" borderId="1" xfId="0" quotePrefix="1" applyNumberFormat="1" applyFont="1" applyBorder="1" applyAlignment="1">
      <alignment horizontal="right"/>
    </xf>
    <xf numFmtId="182" fontId="8" fillId="0" borderId="1" xfId="0" quotePrefix="1" applyNumberFormat="1" applyFont="1" applyBorder="1" applyAlignment="1">
      <alignment horizontal="right" vertical="center"/>
    </xf>
    <xf numFmtId="183" fontId="7" fillId="0" borderId="1" xfId="1" applyNumberFormat="1" applyFont="1" applyBorder="1" applyAlignment="1">
      <alignment horizontal="center" vertical="center"/>
    </xf>
    <xf numFmtId="183" fontId="7" fillId="0" borderId="1" xfId="0" applyNumberFormat="1" applyFont="1" applyBorder="1" applyAlignment="1">
      <alignment horizontal="center" vertical="center"/>
    </xf>
    <xf numFmtId="183" fontId="0" fillId="0" borderId="1" xfId="0" applyNumberFormat="1" applyBorder="1" applyAlignment="1"/>
    <xf numFmtId="183" fontId="0" fillId="0" borderId="1" xfId="0" applyNumberFormat="1" applyBorder="1">
      <alignment vertical="center"/>
    </xf>
    <xf numFmtId="183" fontId="7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4" borderId="0" xfId="0" applyFill="1" applyAlignment="1"/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176" fontId="8" fillId="4" borderId="1" xfId="0" applyNumberFormat="1" applyFont="1" applyFill="1" applyBorder="1" applyAlignment="1">
      <alignment horizontal="center" vertical="center"/>
    </xf>
    <xf numFmtId="177" fontId="8" fillId="4" borderId="1" xfId="0" applyNumberFormat="1" applyFont="1" applyFill="1" applyBorder="1" applyAlignment="1">
      <alignment horizontal="center" vertical="center"/>
    </xf>
    <xf numFmtId="184" fontId="8" fillId="4" borderId="1" xfId="0" applyNumberFormat="1" applyFont="1" applyFill="1" applyBorder="1" applyAlignment="1">
      <alignment horizontal="right" vertical="center"/>
    </xf>
    <xf numFmtId="182" fontId="8" fillId="4" borderId="1" xfId="0" applyNumberFormat="1" applyFont="1" applyFill="1" applyBorder="1" applyAlignment="1">
      <alignment horizontal="right" vertical="center"/>
    </xf>
    <xf numFmtId="179" fontId="8" fillId="4" borderId="1" xfId="0" applyNumberFormat="1" applyFont="1" applyFill="1" applyBorder="1" applyAlignment="1">
      <alignment horizontal="center" vertical="center"/>
    </xf>
    <xf numFmtId="179" fontId="7" fillId="4" borderId="1" xfId="0" applyNumberFormat="1" applyFont="1" applyFill="1" applyBorder="1" applyAlignment="1" applyProtection="1">
      <alignment horizontal="center"/>
      <protection locked="0"/>
    </xf>
    <xf numFmtId="0" fontId="4" fillId="4" borderId="0" xfId="0" applyFont="1" applyFill="1" applyAlignment="1"/>
    <xf numFmtId="0" fontId="7" fillId="4" borderId="1" xfId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83" fontId="7" fillId="4" borderId="1" xfId="1" applyNumberFormat="1" applyFont="1" applyFill="1" applyBorder="1" applyAlignment="1">
      <alignment horizontal="center" vertical="center"/>
    </xf>
    <xf numFmtId="182" fontId="7" fillId="4" borderId="1" xfId="1" applyNumberFormat="1" applyFont="1" applyFill="1" applyBorder="1" applyAlignment="1">
      <alignment horizontal="right" vertical="center"/>
    </xf>
    <xf numFmtId="179" fontId="7" fillId="4" borderId="1" xfId="1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183" fontId="7" fillId="4" borderId="1" xfId="0" applyNumberFormat="1" applyFont="1" applyFill="1" applyBorder="1" applyAlignment="1">
      <alignment horizontal="center" vertical="center"/>
    </xf>
    <xf numFmtId="182" fontId="7" fillId="4" borderId="1" xfId="0" applyNumberFormat="1" applyFont="1" applyFill="1" applyBorder="1" applyAlignment="1">
      <alignment horizontal="right"/>
    </xf>
    <xf numFmtId="179" fontId="7" fillId="4" borderId="1" xfId="0" applyNumberFormat="1" applyFont="1" applyFill="1" applyBorder="1" applyAlignment="1">
      <alignment horizontal="center"/>
    </xf>
    <xf numFmtId="0" fontId="9" fillId="4" borderId="1" xfId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83" fontId="7" fillId="4" borderId="1" xfId="0" applyNumberFormat="1" applyFont="1" applyFill="1" applyBorder="1" applyAlignment="1">
      <alignment horizontal="center"/>
    </xf>
    <xf numFmtId="179" fontId="8" fillId="4" borderId="1" xfId="0" applyNumberFormat="1" applyFont="1" applyFill="1" applyBorder="1" applyAlignment="1" applyProtection="1">
      <alignment horizontal="center" vertical="center"/>
      <protection locked="0"/>
    </xf>
    <xf numFmtId="183" fontId="8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8" fillId="4" borderId="1" xfId="1" applyFont="1" applyFill="1" applyBorder="1" applyAlignment="1">
      <alignment horizontal="center" vertical="center"/>
    </xf>
    <xf numFmtId="182" fontId="13" fillId="4" borderId="2" xfId="0" applyNumberFormat="1" applyFont="1" applyFill="1" applyBorder="1" applyAlignment="1">
      <alignment horizontal="right" vertical="center"/>
    </xf>
  </cellXfs>
  <cellStyles count="5">
    <cellStyle name="표준" xfId="0" builtinId="0"/>
    <cellStyle name="표준 11" xfId="3"/>
    <cellStyle name="표준 12" xfId="2"/>
    <cellStyle name="표준 2" xfId="1"/>
    <cellStyle name="표준 28" xfId="4"/>
  </cellStyles>
  <dxfs count="0"/>
  <tableStyles count="0" defaultTableStyle="TableStyleMedium2" defaultPivotStyle="PivotStyleLight16"/>
  <colors>
    <mruColors>
      <color rgb="FF99CCFF"/>
      <color rgb="FF7BFC24"/>
      <color rgb="FF66FF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0000"/>
    <pageSetUpPr fitToPage="1"/>
  </sheetPr>
  <dimension ref="A1:AD304"/>
  <sheetViews>
    <sheetView tabSelected="1" view="pageBreakPreview" zoomScale="85" zoomScaleNormal="55" zoomScaleSheetLayoutView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D207" sqref="D207"/>
    </sheetView>
  </sheetViews>
  <sheetFormatPr defaultRowHeight="16.5" x14ac:dyDescent="0.3"/>
  <cols>
    <col min="1" max="1" width="5.875" style="47" bestFit="1" customWidth="1"/>
    <col min="2" max="2" width="38.375" style="47" bestFit="1" customWidth="1"/>
    <col min="3" max="3" width="33.125" style="47" bestFit="1" customWidth="1"/>
    <col min="4" max="4" width="23.75" style="47" bestFit="1" customWidth="1"/>
    <col min="5" max="5" width="25.5" style="47" bestFit="1" customWidth="1"/>
    <col min="6" max="6" width="23.75" style="47" bestFit="1" customWidth="1"/>
    <col min="7" max="7" width="28.25" style="47" bestFit="1" customWidth="1"/>
    <col min="8" max="8" width="8.5" style="47" bestFit="1" customWidth="1"/>
    <col min="9" max="9" width="11.75" style="47" customWidth="1"/>
    <col min="10" max="10" width="10.625" style="47" bestFit="1" customWidth="1"/>
    <col min="11" max="11" width="8.375" style="47" bestFit="1" customWidth="1"/>
    <col min="12" max="12" width="10.625" style="47" bestFit="1" customWidth="1"/>
    <col min="13" max="13" width="8.375" style="47" bestFit="1" customWidth="1"/>
    <col min="14" max="14" width="11.75" style="47" bestFit="1" customWidth="1"/>
    <col min="15" max="16" width="10.125" style="47" bestFit="1" customWidth="1"/>
    <col min="17" max="18" width="8.5" style="47" bestFit="1" customWidth="1"/>
    <col min="19" max="19" width="11.75" style="47" bestFit="1" customWidth="1"/>
    <col min="20" max="23" width="8.5" style="47" bestFit="1" customWidth="1"/>
    <col min="24" max="24" width="18" style="47" bestFit="1" customWidth="1"/>
    <col min="25" max="25" width="20.125" style="47" bestFit="1" customWidth="1"/>
    <col min="26" max="26" width="24.25" style="47" bestFit="1" customWidth="1"/>
    <col min="27" max="27" width="14.75" style="47" bestFit="1" customWidth="1"/>
    <col min="28" max="28" width="24.25" style="47" bestFit="1" customWidth="1"/>
    <col min="29" max="16384" width="9" style="47"/>
  </cols>
  <sheetData>
    <row r="1" spans="1:30" x14ac:dyDescent="0.3">
      <c r="A1" s="44" t="s">
        <v>0</v>
      </c>
      <c r="B1" s="44" t="s">
        <v>1</v>
      </c>
      <c r="C1" s="44"/>
      <c r="D1" s="45"/>
      <c r="E1" s="45"/>
      <c r="F1" s="45"/>
      <c r="G1" s="45"/>
      <c r="H1" s="45"/>
      <c r="I1" s="45"/>
      <c r="J1" s="46" t="s">
        <v>2</v>
      </c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30" ht="16.5" customHeight="1" x14ac:dyDescent="0.3">
      <c r="A2" s="48"/>
      <c r="B2" s="44" t="s">
        <v>3</v>
      </c>
      <c r="C2" s="44" t="s">
        <v>78</v>
      </c>
      <c r="D2" s="44"/>
      <c r="E2" s="44" t="s">
        <v>4</v>
      </c>
      <c r="F2" s="44"/>
      <c r="G2" s="44" t="s">
        <v>80</v>
      </c>
      <c r="H2" s="44" t="s">
        <v>1415</v>
      </c>
      <c r="I2" s="44" t="s">
        <v>1416</v>
      </c>
      <c r="J2" s="46" t="s">
        <v>5</v>
      </c>
      <c r="K2" s="46"/>
      <c r="L2" s="46" t="s">
        <v>1303</v>
      </c>
      <c r="M2" s="46"/>
      <c r="N2" s="46" t="s">
        <v>6</v>
      </c>
      <c r="O2" s="46"/>
      <c r="P2" s="46"/>
      <c r="Q2" s="46"/>
      <c r="R2" s="46"/>
      <c r="S2" s="46" t="s">
        <v>7</v>
      </c>
      <c r="T2" s="46"/>
      <c r="U2" s="46"/>
      <c r="V2" s="46"/>
      <c r="W2" s="46"/>
      <c r="X2" s="44" t="s">
        <v>744</v>
      </c>
      <c r="Y2" s="46" t="s">
        <v>1302</v>
      </c>
      <c r="Z2" s="46"/>
      <c r="AA2" s="46" t="s">
        <v>757</v>
      </c>
      <c r="AB2" s="46"/>
    </row>
    <row r="3" spans="1:30" ht="40.5" x14ac:dyDescent="0.3">
      <c r="A3" s="48"/>
      <c r="B3" s="44"/>
      <c r="C3" s="49" t="s">
        <v>81</v>
      </c>
      <c r="D3" s="49" t="s">
        <v>79</v>
      </c>
      <c r="E3" s="49" t="s">
        <v>81</v>
      </c>
      <c r="F3" s="49" t="s">
        <v>79</v>
      </c>
      <c r="G3" s="44"/>
      <c r="H3" s="44"/>
      <c r="I3" s="45"/>
      <c r="J3" s="49" t="s">
        <v>1417</v>
      </c>
      <c r="K3" s="49" t="s">
        <v>8</v>
      </c>
      <c r="L3" s="49" t="s">
        <v>1417</v>
      </c>
      <c r="M3" s="49" t="s">
        <v>9</v>
      </c>
      <c r="N3" s="49" t="s">
        <v>1417</v>
      </c>
      <c r="O3" s="49" t="s">
        <v>730</v>
      </c>
      <c r="P3" s="49" t="s">
        <v>731</v>
      </c>
      <c r="Q3" s="49" t="s">
        <v>732</v>
      </c>
      <c r="R3" s="49" t="s">
        <v>733</v>
      </c>
      <c r="S3" s="49" t="s">
        <v>1417</v>
      </c>
      <c r="T3" s="49" t="s">
        <v>734</v>
      </c>
      <c r="U3" s="49" t="s">
        <v>735</v>
      </c>
      <c r="V3" s="49" t="s">
        <v>736</v>
      </c>
      <c r="W3" s="49" t="s">
        <v>737</v>
      </c>
      <c r="X3" s="44"/>
      <c r="Y3" s="49" t="s">
        <v>747</v>
      </c>
      <c r="Z3" s="49" t="s">
        <v>748</v>
      </c>
      <c r="AA3" s="49" t="s">
        <v>747</v>
      </c>
      <c r="AB3" s="49" t="s">
        <v>748</v>
      </c>
    </row>
    <row r="4" spans="1:30" x14ac:dyDescent="0.3">
      <c r="A4" s="50"/>
      <c r="B4" s="50" t="s">
        <v>766</v>
      </c>
      <c r="C4" s="50"/>
      <c r="D4" s="51"/>
      <c r="E4" s="51"/>
      <c r="F4" s="51"/>
      <c r="G4" s="51"/>
      <c r="H4" s="52">
        <f>SUM(H5:H302)</f>
        <v>582.0500000000003</v>
      </c>
      <c r="I4" s="53">
        <f>SUM(I5:I302)</f>
        <v>530901</v>
      </c>
      <c r="J4" s="53">
        <f>SUM(J5:J302)</f>
        <v>76455</v>
      </c>
      <c r="K4" s="54"/>
      <c r="L4" s="53">
        <f>SUM(L5:L302)</f>
        <v>20082</v>
      </c>
      <c r="M4" s="54"/>
      <c r="N4" s="53">
        <f>SUM(N5:N302)</f>
        <v>284705</v>
      </c>
      <c r="O4" s="54"/>
      <c r="P4" s="54"/>
      <c r="Q4" s="54"/>
      <c r="R4" s="54"/>
      <c r="S4" s="53">
        <f>SUM(S5:S302)</f>
        <v>149659</v>
      </c>
      <c r="T4" s="55"/>
      <c r="U4" s="54"/>
      <c r="V4" s="54"/>
      <c r="W4" s="54"/>
      <c r="X4" s="54"/>
      <c r="Y4" s="54"/>
      <c r="Z4" s="54"/>
      <c r="AA4" s="54"/>
      <c r="AB4" s="54"/>
      <c r="AD4" s="56"/>
    </row>
    <row r="5" spans="1:30" s="1" customFormat="1" hidden="1" x14ac:dyDescent="0.3">
      <c r="A5" s="2">
        <v>1</v>
      </c>
      <c r="B5" s="4" t="s">
        <v>817</v>
      </c>
      <c r="C5" s="4"/>
      <c r="D5" s="4" t="s">
        <v>811</v>
      </c>
      <c r="E5" s="4" t="s">
        <v>818</v>
      </c>
      <c r="F5" s="12" t="s">
        <v>197</v>
      </c>
      <c r="G5" s="4" t="s">
        <v>819</v>
      </c>
      <c r="H5" s="39">
        <v>15.41</v>
      </c>
      <c r="I5" s="30">
        <f t="shared" ref="I5:I68" si="0">J5+N5+S5+L5</f>
        <v>15406</v>
      </c>
      <c r="J5" s="30">
        <f>12394+3012</f>
        <v>15406</v>
      </c>
      <c r="K5" s="3">
        <v>4</v>
      </c>
      <c r="L5" s="30"/>
      <c r="M5" s="3"/>
      <c r="N5" s="35"/>
      <c r="O5" s="21"/>
      <c r="P5" s="21"/>
      <c r="Q5" s="21"/>
      <c r="R5" s="21"/>
      <c r="S5" s="35"/>
      <c r="T5" s="21"/>
      <c r="U5" s="21"/>
      <c r="V5" s="21"/>
      <c r="W5" s="3"/>
      <c r="X5" s="3" t="s">
        <v>1134</v>
      </c>
      <c r="Y5" s="3" t="s">
        <v>1249</v>
      </c>
      <c r="Z5" s="3" t="s">
        <v>759</v>
      </c>
      <c r="AA5" s="3"/>
      <c r="AB5" s="3"/>
    </row>
    <row r="6" spans="1:30" s="1" customFormat="1" hidden="1" x14ac:dyDescent="0.3">
      <c r="A6" s="2">
        <v>2</v>
      </c>
      <c r="B6" s="4" t="s">
        <v>809</v>
      </c>
      <c r="C6" s="4"/>
      <c r="D6" s="4" t="s">
        <v>810</v>
      </c>
      <c r="E6" s="4"/>
      <c r="F6" s="4" t="s">
        <v>811</v>
      </c>
      <c r="G6" s="4" t="s">
        <v>812</v>
      </c>
      <c r="H6" s="39">
        <v>44.56</v>
      </c>
      <c r="I6" s="30">
        <f t="shared" si="0"/>
        <v>26955</v>
      </c>
      <c r="J6" s="30">
        <f>17960+392+8603</f>
        <v>26955</v>
      </c>
      <c r="K6" s="3" t="s">
        <v>813</v>
      </c>
      <c r="L6" s="30"/>
      <c r="M6" s="3"/>
      <c r="N6" s="35"/>
      <c r="O6" s="21"/>
      <c r="P6" s="21"/>
      <c r="Q6" s="21"/>
      <c r="R6" s="21"/>
      <c r="S6" s="35"/>
      <c r="T6" s="21"/>
      <c r="U6" s="21"/>
      <c r="V6" s="21"/>
      <c r="W6" s="3"/>
      <c r="X6" s="3" t="s">
        <v>1134</v>
      </c>
      <c r="Y6" s="3" t="s">
        <v>760</v>
      </c>
      <c r="Z6" s="3" t="s">
        <v>759</v>
      </c>
      <c r="AA6" s="3"/>
      <c r="AB6" s="3"/>
    </row>
    <row r="7" spans="1:30" s="1" customFormat="1" hidden="1" x14ac:dyDescent="0.3">
      <c r="A7" s="2">
        <v>3</v>
      </c>
      <c r="B7" s="4" t="s">
        <v>809</v>
      </c>
      <c r="C7" s="4"/>
      <c r="D7" s="4" t="s">
        <v>811</v>
      </c>
      <c r="E7" s="4"/>
      <c r="F7" s="4" t="s">
        <v>814</v>
      </c>
      <c r="G7" s="4" t="s">
        <v>815</v>
      </c>
      <c r="H7" s="39" t="s">
        <v>1278</v>
      </c>
      <c r="I7" s="30">
        <f t="shared" si="0"/>
        <v>17606</v>
      </c>
      <c r="J7" s="30"/>
      <c r="K7" s="3"/>
      <c r="L7" s="30">
        <f>4718+7594+5294</f>
        <v>17606</v>
      </c>
      <c r="M7" s="3" t="s">
        <v>816</v>
      </c>
      <c r="N7" s="35"/>
      <c r="O7" s="21"/>
      <c r="P7" s="21"/>
      <c r="Q7" s="21"/>
      <c r="R7" s="21"/>
      <c r="S7" s="35"/>
      <c r="T7" s="21"/>
      <c r="U7" s="21"/>
      <c r="V7" s="21"/>
      <c r="W7" s="3"/>
      <c r="X7" s="3"/>
      <c r="Y7" s="3" t="s">
        <v>762</v>
      </c>
      <c r="Z7" s="3" t="s">
        <v>1244</v>
      </c>
      <c r="AA7" s="3"/>
      <c r="AB7" s="3"/>
    </row>
    <row r="8" spans="1:30" s="1" customFormat="1" hidden="1" x14ac:dyDescent="0.3">
      <c r="A8" s="2">
        <v>4</v>
      </c>
      <c r="B8" s="4" t="s">
        <v>805</v>
      </c>
      <c r="C8" s="4"/>
      <c r="D8" s="4" t="s">
        <v>806</v>
      </c>
      <c r="E8" s="4"/>
      <c r="F8" s="4" t="s">
        <v>807</v>
      </c>
      <c r="G8" s="4" t="s">
        <v>808</v>
      </c>
      <c r="H8" s="39">
        <v>2.16</v>
      </c>
      <c r="I8" s="30">
        <f t="shared" si="0"/>
        <v>2162</v>
      </c>
      <c r="J8" s="30"/>
      <c r="K8" s="3"/>
      <c r="L8" s="30"/>
      <c r="M8" s="3"/>
      <c r="N8" s="35">
        <v>2162</v>
      </c>
      <c r="O8" s="21">
        <v>1.3</v>
      </c>
      <c r="P8" s="21">
        <v>1.5</v>
      </c>
      <c r="Q8" s="21">
        <v>1</v>
      </c>
      <c r="R8" s="21">
        <v>1.7</v>
      </c>
      <c r="S8" s="35"/>
      <c r="T8" s="21"/>
      <c r="U8" s="21"/>
      <c r="V8" s="21"/>
      <c r="W8" s="3"/>
      <c r="X8" s="3" t="s">
        <v>1134</v>
      </c>
      <c r="Y8" s="3" t="s">
        <v>758</v>
      </c>
      <c r="Z8" s="3" t="s">
        <v>759</v>
      </c>
      <c r="AA8" s="3" t="s">
        <v>760</v>
      </c>
      <c r="AB8" s="3" t="s">
        <v>759</v>
      </c>
    </row>
    <row r="9" spans="1:30" s="1" customFormat="1" hidden="1" x14ac:dyDescent="0.3">
      <c r="A9" s="2">
        <v>5</v>
      </c>
      <c r="B9" s="4" t="s">
        <v>1250</v>
      </c>
      <c r="C9" s="4" t="s">
        <v>825</v>
      </c>
      <c r="D9" s="12" t="s">
        <v>205</v>
      </c>
      <c r="E9" s="4"/>
      <c r="F9" s="12" t="s">
        <v>1251</v>
      </c>
      <c r="G9" s="4" t="s">
        <v>827</v>
      </c>
      <c r="H9" s="39">
        <v>6.81</v>
      </c>
      <c r="I9" s="30">
        <f t="shared" si="0"/>
        <v>4329</v>
      </c>
      <c r="J9" s="30">
        <f>4329</f>
        <v>4329</v>
      </c>
      <c r="K9" s="3">
        <v>3</v>
      </c>
      <c r="L9" s="30"/>
      <c r="M9" s="3"/>
      <c r="N9" s="35"/>
      <c r="O9" s="21"/>
      <c r="P9" s="21"/>
      <c r="Q9" s="21"/>
      <c r="R9" s="21"/>
      <c r="S9" s="35"/>
      <c r="T9" s="21"/>
      <c r="U9" s="21"/>
      <c r="V9" s="21"/>
      <c r="W9" s="3"/>
      <c r="X9" s="3" t="s">
        <v>1134</v>
      </c>
      <c r="Y9" s="3" t="s">
        <v>760</v>
      </c>
      <c r="Z9" s="3" t="s">
        <v>759</v>
      </c>
      <c r="AA9" s="3"/>
      <c r="AB9" s="3"/>
    </row>
    <row r="10" spans="1:30" s="1" customFormat="1" hidden="1" x14ac:dyDescent="0.3">
      <c r="A10" s="2">
        <v>6</v>
      </c>
      <c r="B10" s="4" t="s">
        <v>183</v>
      </c>
      <c r="C10" s="4"/>
      <c r="D10" s="12" t="s">
        <v>1251</v>
      </c>
      <c r="E10" s="4" t="s">
        <v>826</v>
      </c>
      <c r="F10" s="12" t="s">
        <v>204</v>
      </c>
      <c r="G10" s="4" t="s">
        <v>1252</v>
      </c>
      <c r="H10" s="39" t="s">
        <v>1278</v>
      </c>
      <c r="I10" s="30">
        <f t="shared" si="0"/>
        <v>2476</v>
      </c>
      <c r="J10" s="30"/>
      <c r="K10" s="3"/>
      <c r="L10" s="30">
        <v>2476</v>
      </c>
      <c r="M10" s="3" t="s">
        <v>828</v>
      </c>
      <c r="N10" s="35"/>
      <c r="O10" s="21"/>
      <c r="P10" s="21"/>
      <c r="Q10" s="21"/>
      <c r="R10" s="21"/>
      <c r="S10" s="35"/>
      <c r="T10" s="21"/>
      <c r="U10" s="21"/>
      <c r="V10" s="21"/>
      <c r="W10" s="3"/>
      <c r="X10" s="3"/>
      <c r="Y10" s="3" t="s">
        <v>1248</v>
      </c>
      <c r="Z10" s="3" t="s">
        <v>759</v>
      </c>
      <c r="AA10" s="3"/>
      <c r="AB10" s="3"/>
    </row>
    <row r="11" spans="1:30" x14ac:dyDescent="0.3">
      <c r="A11" s="50">
        <v>7</v>
      </c>
      <c r="B11" s="57" t="s">
        <v>1445</v>
      </c>
      <c r="C11" s="57" t="s">
        <v>818</v>
      </c>
      <c r="D11" s="58" t="s">
        <v>1446</v>
      </c>
      <c r="E11" s="57" t="s">
        <v>820</v>
      </c>
      <c r="F11" s="58" t="s">
        <v>198</v>
      </c>
      <c r="G11" s="57" t="s">
        <v>821</v>
      </c>
      <c r="H11" s="59">
        <v>6.2</v>
      </c>
      <c r="I11" s="53">
        <f t="shared" si="0"/>
        <v>12390</v>
      </c>
      <c r="J11" s="53">
        <f>6151+6239</f>
        <v>12390</v>
      </c>
      <c r="K11" s="54">
        <v>2</v>
      </c>
      <c r="L11" s="53"/>
      <c r="M11" s="54"/>
      <c r="N11" s="60"/>
      <c r="O11" s="61"/>
      <c r="P11" s="61"/>
      <c r="Q11" s="61"/>
      <c r="R11" s="61"/>
      <c r="S11" s="60"/>
      <c r="T11" s="61"/>
      <c r="U11" s="61"/>
      <c r="V11" s="61"/>
      <c r="W11" s="54"/>
      <c r="X11" s="54" t="s">
        <v>1134</v>
      </c>
      <c r="Y11" s="54" t="s">
        <v>1248</v>
      </c>
      <c r="Z11" s="54" t="s">
        <v>759</v>
      </c>
      <c r="AA11" s="54"/>
      <c r="AB11" s="54"/>
    </row>
    <row r="12" spans="1:30" x14ac:dyDescent="0.3">
      <c r="A12" s="50">
        <v>8</v>
      </c>
      <c r="B12" s="57" t="s">
        <v>1277</v>
      </c>
      <c r="C12" s="57" t="s">
        <v>822</v>
      </c>
      <c r="D12" s="58" t="s">
        <v>199</v>
      </c>
      <c r="E12" s="57"/>
      <c r="F12" s="58" t="s">
        <v>200</v>
      </c>
      <c r="G12" s="57" t="s">
        <v>823</v>
      </c>
      <c r="H12" s="59">
        <v>17.399999999999999</v>
      </c>
      <c r="I12" s="53">
        <f t="shared" si="0"/>
        <v>3718</v>
      </c>
      <c r="J12" s="53">
        <f>3393+325</f>
        <v>3718</v>
      </c>
      <c r="K12" s="54" t="s">
        <v>824</v>
      </c>
      <c r="L12" s="53"/>
      <c r="M12" s="54"/>
      <c r="N12" s="60"/>
      <c r="O12" s="61"/>
      <c r="P12" s="61"/>
      <c r="Q12" s="61"/>
      <c r="R12" s="61"/>
      <c r="S12" s="60"/>
      <c r="T12" s="61"/>
      <c r="U12" s="61"/>
      <c r="V12" s="61"/>
      <c r="W12" s="54"/>
      <c r="X12" s="54" t="s">
        <v>1134</v>
      </c>
      <c r="Y12" s="54" t="s">
        <v>1237</v>
      </c>
      <c r="Z12" s="54" t="s">
        <v>764</v>
      </c>
      <c r="AA12" s="54"/>
      <c r="AB12" s="54"/>
    </row>
    <row r="13" spans="1:30" x14ac:dyDescent="0.3">
      <c r="A13" s="50">
        <v>9</v>
      </c>
      <c r="B13" s="57" t="s">
        <v>1292</v>
      </c>
      <c r="C13" s="57"/>
      <c r="D13" s="58" t="s">
        <v>207</v>
      </c>
      <c r="E13" s="57" t="s">
        <v>829</v>
      </c>
      <c r="F13" s="58" t="s">
        <v>206</v>
      </c>
      <c r="G13" s="57" t="s">
        <v>830</v>
      </c>
      <c r="H13" s="59">
        <v>3.25</v>
      </c>
      <c r="I13" s="53">
        <f t="shared" si="0"/>
        <v>8109</v>
      </c>
      <c r="J13" s="53">
        <f>3246+4863</f>
        <v>8109</v>
      </c>
      <c r="K13" s="54">
        <v>3</v>
      </c>
      <c r="L13" s="53"/>
      <c r="M13" s="54"/>
      <c r="N13" s="60"/>
      <c r="O13" s="61"/>
      <c r="P13" s="61"/>
      <c r="Q13" s="61"/>
      <c r="R13" s="61"/>
      <c r="S13" s="60"/>
      <c r="T13" s="61"/>
      <c r="U13" s="61"/>
      <c r="V13" s="61"/>
      <c r="W13" s="54"/>
      <c r="X13" s="54" t="s">
        <v>1134</v>
      </c>
      <c r="Y13" s="54" t="s">
        <v>762</v>
      </c>
      <c r="Z13" s="54" t="s">
        <v>1244</v>
      </c>
      <c r="AA13" s="54"/>
      <c r="AB13" s="54"/>
    </row>
    <row r="14" spans="1:30" x14ac:dyDescent="0.3">
      <c r="A14" s="50">
        <v>10</v>
      </c>
      <c r="B14" s="62" t="s">
        <v>1304</v>
      </c>
      <c r="C14" s="63" t="s">
        <v>637</v>
      </c>
      <c r="D14" s="58" t="s">
        <v>1447</v>
      </c>
      <c r="E14" s="63" t="s">
        <v>57</v>
      </c>
      <c r="F14" s="58" t="s">
        <v>1448</v>
      </c>
      <c r="G14" s="63" t="s">
        <v>1155</v>
      </c>
      <c r="H14" s="64">
        <v>1.98</v>
      </c>
      <c r="I14" s="53">
        <f t="shared" si="0"/>
        <v>1981</v>
      </c>
      <c r="J14" s="65">
        <f>267+924+790</f>
        <v>1981</v>
      </c>
      <c r="K14" s="63">
        <v>2.4</v>
      </c>
      <c r="L14" s="65"/>
      <c r="M14" s="63"/>
      <c r="N14" s="65"/>
      <c r="O14" s="66"/>
      <c r="P14" s="66"/>
      <c r="Q14" s="66"/>
      <c r="R14" s="66"/>
      <c r="S14" s="65"/>
      <c r="T14" s="66"/>
      <c r="U14" s="66"/>
      <c r="V14" s="66"/>
      <c r="W14" s="66"/>
      <c r="X14" s="63" t="s">
        <v>1293</v>
      </c>
      <c r="Y14" s="63" t="s">
        <v>760</v>
      </c>
      <c r="Z14" s="63" t="s">
        <v>759</v>
      </c>
      <c r="AA14" s="63"/>
      <c r="AB14" s="63"/>
    </row>
    <row r="15" spans="1:30" s="1" customFormat="1" hidden="1" x14ac:dyDescent="0.3">
      <c r="A15" s="2">
        <v>11</v>
      </c>
      <c r="B15" s="4" t="s">
        <v>10</v>
      </c>
      <c r="C15" s="4" t="s">
        <v>755</v>
      </c>
      <c r="D15" s="12" t="s">
        <v>218</v>
      </c>
      <c r="E15" s="4" t="s">
        <v>842</v>
      </c>
      <c r="F15" s="12" t="s">
        <v>756</v>
      </c>
      <c r="G15" s="4" t="s">
        <v>1367</v>
      </c>
      <c r="H15" s="39">
        <v>19.32</v>
      </c>
      <c r="I15" s="30">
        <f t="shared" si="0"/>
        <v>20684</v>
      </c>
      <c r="J15" s="30"/>
      <c r="K15" s="3"/>
      <c r="L15" s="30"/>
      <c r="M15" s="3"/>
      <c r="N15" s="35">
        <f>2194+2446+699+299+441+866+692+2612+509+6314+749+715+2148</f>
        <v>20684</v>
      </c>
      <c r="O15" s="21">
        <v>1.5</v>
      </c>
      <c r="P15" s="21">
        <v>3</v>
      </c>
      <c r="Q15" s="21">
        <v>1.5</v>
      </c>
      <c r="R15" s="21">
        <v>1.5</v>
      </c>
      <c r="S15" s="35"/>
      <c r="T15" s="21"/>
      <c r="U15" s="21"/>
      <c r="V15" s="21"/>
      <c r="W15" s="3"/>
      <c r="X15" s="3" t="s">
        <v>1281</v>
      </c>
      <c r="Y15" s="3" t="s">
        <v>1363</v>
      </c>
      <c r="Z15" s="3" t="s">
        <v>1364</v>
      </c>
      <c r="AA15" s="3" t="s">
        <v>1365</v>
      </c>
      <c r="AB15" s="3" t="s">
        <v>1366</v>
      </c>
    </row>
    <row r="16" spans="1:30" x14ac:dyDescent="0.3">
      <c r="A16" s="50">
        <v>12</v>
      </c>
      <c r="B16" s="57" t="s">
        <v>10</v>
      </c>
      <c r="C16" s="57" t="s">
        <v>843</v>
      </c>
      <c r="D16" s="58" t="s">
        <v>1449</v>
      </c>
      <c r="E16" s="57" t="s">
        <v>844</v>
      </c>
      <c r="F16" s="58" t="s">
        <v>1450</v>
      </c>
      <c r="G16" s="57" t="s">
        <v>845</v>
      </c>
      <c r="H16" s="59" t="s">
        <v>1278</v>
      </c>
      <c r="I16" s="53">
        <f t="shared" si="0"/>
        <v>106</v>
      </c>
      <c r="J16" s="53"/>
      <c r="K16" s="54"/>
      <c r="L16" s="53"/>
      <c r="M16" s="54"/>
      <c r="N16" s="60"/>
      <c r="O16" s="61"/>
      <c r="P16" s="61"/>
      <c r="Q16" s="61"/>
      <c r="R16" s="61"/>
      <c r="S16" s="60">
        <v>106</v>
      </c>
      <c r="T16" s="61">
        <v>4</v>
      </c>
      <c r="U16" s="61">
        <v>4</v>
      </c>
      <c r="V16" s="61">
        <v>4</v>
      </c>
      <c r="W16" s="54">
        <v>4</v>
      </c>
      <c r="X16" s="54"/>
      <c r="Y16" s="54" t="s">
        <v>762</v>
      </c>
      <c r="Z16" s="54" t="s">
        <v>1196</v>
      </c>
      <c r="AA16" s="54"/>
      <c r="AB16" s="54"/>
    </row>
    <row r="17" spans="1:28" s="1" customFormat="1" hidden="1" x14ac:dyDescent="0.3">
      <c r="A17" s="2">
        <v>13</v>
      </c>
      <c r="B17" s="4" t="s">
        <v>10</v>
      </c>
      <c r="C17" s="4" t="s">
        <v>846</v>
      </c>
      <c r="D17" s="12" t="s">
        <v>1451</v>
      </c>
      <c r="E17" s="4" t="s">
        <v>847</v>
      </c>
      <c r="F17" s="12" t="s">
        <v>1452</v>
      </c>
      <c r="G17" s="4" t="s">
        <v>848</v>
      </c>
      <c r="H17" s="39" t="s">
        <v>1278</v>
      </c>
      <c r="I17" s="30">
        <f t="shared" si="0"/>
        <v>85</v>
      </c>
      <c r="J17" s="30"/>
      <c r="K17" s="3"/>
      <c r="L17" s="30"/>
      <c r="M17" s="3"/>
      <c r="N17" s="35"/>
      <c r="O17" s="21"/>
      <c r="P17" s="21"/>
      <c r="Q17" s="21"/>
      <c r="R17" s="21"/>
      <c r="S17" s="35">
        <v>85</v>
      </c>
      <c r="T17" s="21">
        <v>3</v>
      </c>
      <c r="U17" s="21">
        <v>3</v>
      </c>
      <c r="V17" s="21">
        <v>3</v>
      </c>
      <c r="W17" s="3">
        <v>3</v>
      </c>
      <c r="X17" s="3"/>
      <c r="Y17" s="3" t="s">
        <v>760</v>
      </c>
      <c r="Z17" s="3" t="s">
        <v>759</v>
      </c>
      <c r="AA17" s="3"/>
      <c r="AB17" s="3"/>
    </row>
    <row r="18" spans="1:28" s="1" customFormat="1" hidden="1" x14ac:dyDescent="0.3">
      <c r="A18" s="2">
        <v>14</v>
      </c>
      <c r="B18" s="4" t="s">
        <v>10</v>
      </c>
      <c r="C18" s="4" t="s">
        <v>849</v>
      </c>
      <c r="D18" s="12" t="s">
        <v>1453</v>
      </c>
      <c r="E18" s="4" t="s">
        <v>95</v>
      </c>
      <c r="F18" s="12" t="s">
        <v>717</v>
      </c>
      <c r="G18" s="4" t="s">
        <v>850</v>
      </c>
      <c r="H18" s="39" t="s">
        <v>1278</v>
      </c>
      <c r="I18" s="30">
        <f t="shared" si="0"/>
        <v>169</v>
      </c>
      <c r="J18" s="30"/>
      <c r="K18" s="3"/>
      <c r="L18" s="30"/>
      <c r="M18" s="3"/>
      <c r="N18" s="35"/>
      <c r="O18" s="21"/>
      <c r="P18" s="21"/>
      <c r="Q18" s="21"/>
      <c r="R18" s="21"/>
      <c r="S18" s="35">
        <v>169</v>
      </c>
      <c r="T18" s="21">
        <v>3</v>
      </c>
      <c r="U18" s="21">
        <v>3</v>
      </c>
      <c r="V18" s="21">
        <v>3</v>
      </c>
      <c r="W18" s="3">
        <v>3</v>
      </c>
      <c r="X18" s="3"/>
      <c r="Y18" s="3" t="s">
        <v>1199</v>
      </c>
      <c r="Z18" s="3" t="s">
        <v>763</v>
      </c>
      <c r="AA18" s="3"/>
      <c r="AB18" s="3"/>
    </row>
    <row r="19" spans="1:28" s="1" customFormat="1" hidden="1" x14ac:dyDescent="0.3">
      <c r="A19" s="2">
        <v>15</v>
      </c>
      <c r="B19" s="4" t="s">
        <v>10</v>
      </c>
      <c r="C19" s="4" t="s">
        <v>851</v>
      </c>
      <c r="D19" s="12" t="s">
        <v>220</v>
      </c>
      <c r="E19" s="4" t="s">
        <v>852</v>
      </c>
      <c r="F19" s="12" t="s">
        <v>221</v>
      </c>
      <c r="G19" s="4" t="s">
        <v>787</v>
      </c>
      <c r="H19" s="39" t="s">
        <v>1278</v>
      </c>
      <c r="I19" s="30">
        <f t="shared" si="0"/>
        <v>2015</v>
      </c>
      <c r="J19" s="30"/>
      <c r="K19" s="3"/>
      <c r="L19" s="30"/>
      <c r="M19" s="3"/>
      <c r="N19" s="35"/>
      <c r="O19" s="21"/>
      <c r="P19" s="21"/>
      <c r="Q19" s="21"/>
      <c r="R19" s="21"/>
      <c r="S19" s="35">
        <f>1208+807</f>
        <v>2015</v>
      </c>
      <c r="T19" s="21">
        <v>2</v>
      </c>
      <c r="U19" s="21">
        <v>2</v>
      </c>
      <c r="V19" s="21">
        <v>2</v>
      </c>
      <c r="W19" s="3">
        <v>2</v>
      </c>
      <c r="X19" s="3"/>
      <c r="Y19" s="3" t="s">
        <v>762</v>
      </c>
      <c r="Z19" s="3" t="s">
        <v>763</v>
      </c>
      <c r="AA19" s="3"/>
      <c r="AB19" s="3"/>
    </row>
    <row r="20" spans="1:28" s="1" customFormat="1" hidden="1" x14ac:dyDescent="0.3">
      <c r="A20" s="2">
        <v>16</v>
      </c>
      <c r="B20" s="4" t="s">
        <v>10</v>
      </c>
      <c r="C20" s="4" t="s">
        <v>853</v>
      </c>
      <c r="D20" s="12" t="s">
        <v>1454</v>
      </c>
      <c r="E20" s="7" t="s">
        <v>854</v>
      </c>
      <c r="F20" s="12" t="s">
        <v>724</v>
      </c>
      <c r="G20" s="12" t="s">
        <v>855</v>
      </c>
      <c r="H20" s="39" t="s">
        <v>1278</v>
      </c>
      <c r="I20" s="30">
        <f t="shared" si="0"/>
        <v>521</v>
      </c>
      <c r="J20" s="30"/>
      <c r="K20" s="3"/>
      <c r="L20" s="30"/>
      <c r="M20" s="3"/>
      <c r="N20" s="35">
        <f>291+230</f>
        <v>521</v>
      </c>
      <c r="O20" s="21">
        <v>1.8</v>
      </c>
      <c r="P20" s="21">
        <v>3.2</v>
      </c>
      <c r="Q20" s="21">
        <v>1.8</v>
      </c>
      <c r="R20" s="21">
        <v>1.8</v>
      </c>
      <c r="S20" s="35"/>
      <c r="T20" s="21"/>
      <c r="U20" s="21"/>
      <c r="V20" s="21"/>
      <c r="W20" s="3"/>
      <c r="X20" s="3"/>
      <c r="Y20" s="3" t="s">
        <v>762</v>
      </c>
      <c r="Z20" s="3" t="s">
        <v>763</v>
      </c>
      <c r="AA20" s="3" t="s">
        <v>1179</v>
      </c>
      <c r="AB20" s="3" t="s">
        <v>763</v>
      </c>
    </row>
    <row r="21" spans="1:28" s="1" customFormat="1" hidden="1" x14ac:dyDescent="0.3">
      <c r="A21" s="2">
        <v>17</v>
      </c>
      <c r="B21" s="4" t="s">
        <v>10</v>
      </c>
      <c r="C21" s="4" t="s">
        <v>856</v>
      </c>
      <c r="D21" s="12" t="s">
        <v>718</v>
      </c>
      <c r="E21" s="4" t="s">
        <v>857</v>
      </c>
      <c r="F21" s="12" t="s">
        <v>222</v>
      </c>
      <c r="G21" s="4" t="s">
        <v>142</v>
      </c>
      <c r="H21" s="39" t="s">
        <v>1278</v>
      </c>
      <c r="I21" s="30">
        <f t="shared" si="0"/>
        <v>1138</v>
      </c>
      <c r="J21" s="30"/>
      <c r="K21" s="3"/>
      <c r="L21" s="30"/>
      <c r="M21" s="3"/>
      <c r="N21" s="35"/>
      <c r="O21" s="21"/>
      <c r="P21" s="21"/>
      <c r="Q21" s="21"/>
      <c r="R21" s="21"/>
      <c r="S21" s="35">
        <f>662+476</f>
        <v>1138</v>
      </c>
      <c r="T21" s="21">
        <v>4.5</v>
      </c>
      <c r="U21" s="21">
        <v>4.5</v>
      </c>
      <c r="V21" s="21">
        <v>3</v>
      </c>
      <c r="W21" s="3">
        <v>3</v>
      </c>
      <c r="X21" s="3"/>
      <c r="Y21" s="3" t="s">
        <v>762</v>
      </c>
      <c r="Z21" s="3" t="s">
        <v>1196</v>
      </c>
      <c r="AA21" s="3"/>
      <c r="AB21" s="3"/>
    </row>
    <row r="22" spans="1:28" s="1" customFormat="1" hidden="1" x14ac:dyDescent="0.3">
      <c r="A22" s="2">
        <v>18</v>
      </c>
      <c r="B22" s="4" t="s">
        <v>10</v>
      </c>
      <c r="C22" s="4" t="s">
        <v>857</v>
      </c>
      <c r="D22" s="12" t="s">
        <v>1455</v>
      </c>
      <c r="E22" s="4" t="s">
        <v>858</v>
      </c>
      <c r="F22" s="12" t="s">
        <v>859</v>
      </c>
      <c r="G22" s="4" t="s">
        <v>860</v>
      </c>
      <c r="H22" s="39" t="s">
        <v>1278</v>
      </c>
      <c r="I22" s="30">
        <f t="shared" si="0"/>
        <v>12564</v>
      </c>
      <c r="J22" s="30"/>
      <c r="K22" s="3"/>
      <c r="L22" s="30"/>
      <c r="M22" s="3"/>
      <c r="N22" s="35">
        <f>6344+4282+1938</f>
        <v>12564</v>
      </c>
      <c r="O22" s="21">
        <v>1</v>
      </c>
      <c r="P22" s="21">
        <v>1.8</v>
      </c>
      <c r="Q22" s="21">
        <v>1.5</v>
      </c>
      <c r="R22" s="21">
        <v>3</v>
      </c>
      <c r="S22" s="35"/>
      <c r="T22" s="21"/>
      <c r="U22" s="21"/>
      <c r="V22" s="21"/>
      <c r="W22" s="3"/>
      <c r="X22" s="3"/>
      <c r="Y22" s="3" t="s">
        <v>762</v>
      </c>
      <c r="Z22" s="3" t="s">
        <v>1197</v>
      </c>
      <c r="AA22" s="3" t="s">
        <v>760</v>
      </c>
      <c r="AB22" s="3" t="s">
        <v>759</v>
      </c>
    </row>
    <row r="23" spans="1:28" s="1" customFormat="1" hidden="1" x14ac:dyDescent="0.3">
      <c r="A23" s="2">
        <v>19</v>
      </c>
      <c r="B23" s="4" t="s">
        <v>11</v>
      </c>
      <c r="C23" s="4" t="s">
        <v>858</v>
      </c>
      <c r="D23" s="12" t="s">
        <v>218</v>
      </c>
      <c r="E23" s="4" t="s">
        <v>861</v>
      </c>
      <c r="F23" s="12" t="s">
        <v>224</v>
      </c>
      <c r="G23" s="4" t="s">
        <v>862</v>
      </c>
      <c r="H23" s="39">
        <v>20.58</v>
      </c>
      <c r="I23" s="30">
        <f t="shared" si="0"/>
        <v>5741</v>
      </c>
      <c r="J23" s="30"/>
      <c r="K23" s="3"/>
      <c r="L23" s="30"/>
      <c r="M23" s="3"/>
      <c r="N23" s="35">
        <f>1297+1945+638+774+1087</f>
        <v>5741</v>
      </c>
      <c r="O23" s="21">
        <v>1.8</v>
      </c>
      <c r="P23" s="21">
        <v>2.2999999999999998</v>
      </c>
      <c r="Q23" s="21">
        <v>1.2</v>
      </c>
      <c r="R23" s="21">
        <v>1.5</v>
      </c>
      <c r="S23" s="35"/>
      <c r="T23" s="21"/>
      <c r="U23" s="21"/>
      <c r="V23" s="21"/>
      <c r="W23" s="3"/>
      <c r="X23" s="3" t="s">
        <v>1281</v>
      </c>
      <c r="Y23" s="3" t="s">
        <v>762</v>
      </c>
      <c r="Z23" s="3" t="s">
        <v>763</v>
      </c>
      <c r="AA23" s="3" t="s">
        <v>1179</v>
      </c>
      <c r="AB23" s="3" t="s">
        <v>763</v>
      </c>
    </row>
    <row r="24" spans="1:28" s="1" customFormat="1" hidden="1" x14ac:dyDescent="0.3">
      <c r="A24" s="2">
        <v>20</v>
      </c>
      <c r="B24" s="4" t="s">
        <v>11</v>
      </c>
      <c r="C24" s="7" t="s">
        <v>863</v>
      </c>
      <c r="D24" s="12" t="s">
        <v>719</v>
      </c>
      <c r="E24" s="7" t="s">
        <v>864</v>
      </c>
      <c r="F24" s="12" t="s">
        <v>720</v>
      </c>
      <c r="G24" s="4" t="s">
        <v>691</v>
      </c>
      <c r="H24" s="39" t="s">
        <v>1278</v>
      </c>
      <c r="I24" s="30">
        <f t="shared" si="0"/>
        <v>1827</v>
      </c>
      <c r="J24" s="30"/>
      <c r="K24" s="3"/>
      <c r="L24" s="30"/>
      <c r="M24" s="3"/>
      <c r="N24" s="35">
        <f>779+868+180</f>
        <v>1827</v>
      </c>
      <c r="O24" s="21">
        <v>1.7</v>
      </c>
      <c r="P24" s="21">
        <v>2.5</v>
      </c>
      <c r="Q24" s="21">
        <v>2</v>
      </c>
      <c r="R24" s="21">
        <v>2</v>
      </c>
      <c r="S24" s="35"/>
      <c r="T24" s="21"/>
      <c r="U24" s="21"/>
      <c r="V24" s="21"/>
      <c r="W24" s="3"/>
      <c r="X24" s="3"/>
      <c r="Y24" s="3" t="s">
        <v>762</v>
      </c>
      <c r="Z24" s="3" t="s">
        <v>763</v>
      </c>
      <c r="AA24" s="3" t="s">
        <v>760</v>
      </c>
      <c r="AB24" s="3" t="s">
        <v>759</v>
      </c>
    </row>
    <row r="25" spans="1:28" s="1" customFormat="1" hidden="1" x14ac:dyDescent="0.3">
      <c r="A25" s="2">
        <v>21</v>
      </c>
      <c r="B25" s="4" t="s">
        <v>11</v>
      </c>
      <c r="C25" s="4" t="s">
        <v>865</v>
      </c>
      <c r="D25" s="12" t="s">
        <v>225</v>
      </c>
      <c r="E25" s="4" t="s">
        <v>866</v>
      </c>
      <c r="F25" s="12" t="s">
        <v>226</v>
      </c>
      <c r="G25" s="4" t="s">
        <v>867</v>
      </c>
      <c r="H25" s="39" t="s">
        <v>1278</v>
      </c>
      <c r="I25" s="30">
        <f t="shared" si="0"/>
        <v>940</v>
      </c>
      <c r="J25" s="30"/>
      <c r="K25" s="3"/>
      <c r="L25" s="30"/>
      <c r="M25" s="3"/>
      <c r="N25" s="35"/>
      <c r="O25" s="21"/>
      <c r="P25" s="21"/>
      <c r="Q25" s="21"/>
      <c r="R25" s="21"/>
      <c r="S25" s="35">
        <f>591+349</f>
        <v>940</v>
      </c>
      <c r="T25" s="21">
        <v>3.8</v>
      </c>
      <c r="U25" s="21">
        <v>3.8</v>
      </c>
      <c r="V25" s="21">
        <v>3.8</v>
      </c>
      <c r="W25" s="3">
        <v>3.8</v>
      </c>
      <c r="X25" s="3"/>
      <c r="Y25" s="3" t="s">
        <v>1199</v>
      </c>
      <c r="Z25" s="3" t="s">
        <v>763</v>
      </c>
      <c r="AA25" s="3"/>
      <c r="AB25" s="3"/>
    </row>
    <row r="26" spans="1:28" s="1" customFormat="1" hidden="1" x14ac:dyDescent="0.3">
      <c r="A26" s="2">
        <v>22</v>
      </c>
      <c r="B26" s="4" t="s">
        <v>11</v>
      </c>
      <c r="C26" s="4" t="s">
        <v>866</v>
      </c>
      <c r="D26" s="12" t="s">
        <v>868</v>
      </c>
      <c r="E26" s="4" t="s">
        <v>869</v>
      </c>
      <c r="F26" s="12" t="s">
        <v>227</v>
      </c>
      <c r="G26" s="4" t="s">
        <v>870</v>
      </c>
      <c r="H26" s="39" t="s">
        <v>1278</v>
      </c>
      <c r="I26" s="30">
        <f t="shared" si="0"/>
        <v>1177</v>
      </c>
      <c r="J26" s="30"/>
      <c r="K26" s="3"/>
      <c r="L26" s="30"/>
      <c r="M26" s="3"/>
      <c r="N26" s="35">
        <f>777+176+224</f>
        <v>1177</v>
      </c>
      <c r="O26" s="21">
        <v>1.3</v>
      </c>
      <c r="P26" s="21">
        <v>1.3</v>
      </c>
      <c r="Q26" s="21">
        <v>2.5</v>
      </c>
      <c r="R26" s="21">
        <v>2.5</v>
      </c>
      <c r="S26" s="35"/>
      <c r="T26" s="21"/>
      <c r="U26" s="21"/>
      <c r="V26" s="21"/>
      <c r="W26" s="3"/>
      <c r="X26" s="3"/>
      <c r="Y26" s="3" t="s">
        <v>1181</v>
      </c>
      <c r="Z26" s="3" t="s">
        <v>763</v>
      </c>
      <c r="AA26" s="3" t="s">
        <v>1181</v>
      </c>
      <c r="AB26" s="3" t="s">
        <v>763</v>
      </c>
    </row>
    <row r="27" spans="1:28" s="1" customFormat="1" hidden="1" x14ac:dyDescent="0.3">
      <c r="A27" s="2">
        <v>23</v>
      </c>
      <c r="B27" s="4" t="s">
        <v>11</v>
      </c>
      <c r="C27" s="4" t="s">
        <v>871</v>
      </c>
      <c r="D27" s="12" t="s">
        <v>229</v>
      </c>
      <c r="E27" s="4" t="s">
        <v>872</v>
      </c>
      <c r="F27" s="12" t="s">
        <v>228</v>
      </c>
      <c r="G27" s="4" t="s">
        <v>873</v>
      </c>
      <c r="H27" s="39" t="s">
        <v>1278</v>
      </c>
      <c r="I27" s="30">
        <f t="shared" si="0"/>
        <v>223</v>
      </c>
      <c r="J27" s="30"/>
      <c r="K27" s="3"/>
      <c r="L27" s="30"/>
      <c r="M27" s="3"/>
      <c r="N27" s="35"/>
      <c r="O27" s="21"/>
      <c r="P27" s="21"/>
      <c r="Q27" s="21"/>
      <c r="R27" s="21"/>
      <c r="S27" s="35">
        <v>223</v>
      </c>
      <c r="T27" s="21">
        <v>3.8</v>
      </c>
      <c r="U27" s="21">
        <v>3.8</v>
      </c>
      <c r="V27" s="21">
        <v>3.8</v>
      </c>
      <c r="W27" s="3">
        <v>3.8</v>
      </c>
      <c r="X27" s="3"/>
      <c r="Y27" s="3" t="s">
        <v>1180</v>
      </c>
      <c r="Z27" s="3" t="s">
        <v>763</v>
      </c>
      <c r="AA27" s="3"/>
      <c r="AB27" s="3"/>
    </row>
    <row r="28" spans="1:28" s="1" customFormat="1" hidden="1" x14ac:dyDescent="0.3">
      <c r="A28" s="2">
        <v>24</v>
      </c>
      <c r="B28" s="4" t="s">
        <v>11</v>
      </c>
      <c r="C28" s="4" t="s">
        <v>874</v>
      </c>
      <c r="D28" s="12" t="s">
        <v>740</v>
      </c>
      <c r="E28" s="4"/>
      <c r="F28" s="12" t="s">
        <v>741</v>
      </c>
      <c r="G28" s="4" t="s">
        <v>875</v>
      </c>
      <c r="H28" s="39" t="s">
        <v>1278</v>
      </c>
      <c r="I28" s="30">
        <f t="shared" si="0"/>
        <v>2205</v>
      </c>
      <c r="J28" s="30"/>
      <c r="K28" s="3"/>
      <c r="L28" s="30"/>
      <c r="M28" s="3"/>
      <c r="N28" s="35"/>
      <c r="O28" s="21"/>
      <c r="P28" s="21"/>
      <c r="Q28" s="21"/>
      <c r="R28" s="21"/>
      <c r="S28" s="35">
        <f>1034+1171</f>
        <v>2205</v>
      </c>
      <c r="T28" s="21">
        <v>2</v>
      </c>
      <c r="U28" s="3">
        <v>2.5</v>
      </c>
      <c r="V28" s="21">
        <v>2</v>
      </c>
      <c r="W28" s="3">
        <v>2.5</v>
      </c>
      <c r="X28" s="3"/>
      <c r="Y28" s="3" t="s">
        <v>1181</v>
      </c>
      <c r="Z28" s="3" t="s">
        <v>763</v>
      </c>
      <c r="AA28" s="3"/>
      <c r="AB28" s="3"/>
    </row>
    <row r="29" spans="1:28" s="1" customFormat="1" hidden="1" x14ac:dyDescent="0.3">
      <c r="A29" s="2">
        <v>25</v>
      </c>
      <c r="B29" s="4" t="s">
        <v>11</v>
      </c>
      <c r="C29" s="4" t="s">
        <v>487</v>
      </c>
      <c r="D29" s="12" t="s">
        <v>488</v>
      </c>
      <c r="E29" s="4"/>
      <c r="F29" s="12" t="s">
        <v>742</v>
      </c>
      <c r="G29" s="4" t="s">
        <v>876</v>
      </c>
      <c r="H29" s="39" t="s">
        <v>1278</v>
      </c>
      <c r="I29" s="30">
        <f t="shared" si="0"/>
        <v>13555</v>
      </c>
      <c r="J29" s="30"/>
      <c r="K29" s="3"/>
      <c r="L29" s="30"/>
      <c r="M29" s="3"/>
      <c r="N29" s="35">
        <f>1006+6085+226+233+1262+3979+627+137</f>
        <v>13555</v>
      </c>
      <c r="O29" s="21">
        <v>0.5</v>
      </c>
      <c r="P29" s="21">
        <v>1.5</v>
      </c>
      <c r="Q29" s="21">
        <v>1.5</v>
      </c>
      <c r="R29" s="21">
        <v>2</v>
      </c>
      <c r="S29" s="35"/>
      <c r="T29" s="21"/>
      <c r="U29" s="21"/>
      <c r="V29" s="21"/>
      <c r="W29" s="3"/>
      <c r="X29" s="3"/>
      <c r="Y29" s="3" t="s">
        <v>1184</v>
      </c>
      <c r="Z29" s="3" t="s">
        <v>763</v>
      </c>
      <c r="AA29" s="3" t="s">
        <v>1179</v>
      </c>
      <c r="AB29" s="3" t="s">
        <v>763</v>
      </c>
    </row>
    <row r="30" spans="1:28" s="1" customFormat="1" hidden="1" x14ac:dyDescent="0.3">
      <c r="A30" s="2">
        <v>26</v>
      </c>
      <c r="B30" s="4" t="s">
        <v>11</v>
      </c>
      <c r="C30" s="4" t="s">
        <v>877</v>
      </c>
      <c r="D30" s="12" t="s">
        <v>233</v>
      </c>
      <c r="E30" s="8" t="s">
        <v>1268</v>
      </c>
      <c r="F30" s="12" t="s">
        <v>235</v>
      </c>
      <c r="G30" s="7"/>
      <c r="H30" s="39" t="s">
        <v>1278</v>
      </c>
      <c r="I30" s="30">
        <f t="shared" si="0"/>
        <v>1038</v>
      </c>
      <c r="J30" s="30"/>
      <c r="K30" s="3"/>
      <c r="L30" s="30"/>
      <c r="M30" s="3"/>
      <c r="N30" s="35"/>
      <c r="O30" s="21"/>
      <c r="P30" s="21"/>
      <c r="Q30" s="21"/>
      <c r="R30" s="21"/>
      <c r="S30" s="35">
        <v>1038</v>
      </c>
      <c r="T30" s="21">
        <v>3</v>
      </c>
      <c r="U30" s="21">
        <v>3</v>
      </c>
      <c r="V30" s="21">
        <v>3</v>
      </c>
      <c r="W30" s="3">
        <v>3</v>
      </c>
      <c r="X30" s="3"/>
      <c r="Y30" s="3" t="s">
        <v>1188</v>
      </c>
      <c r="Z30" s="3" t="s">
        <v>764</v>
      </c>
      <c r="AA30" s="3"/>
      <c r="AB30" s="3"/>
    </row>
    <row r="31" spans="1:28" s="1" customFormat="1" hidden="1" x14ac:dyDescent="0.3">
      <c r="A31" s="2">
        <v>27</v>
      </c>
      <c r="B31" s="4" t="s">
        <v>138</v>
      </c>
      <c r="C31" s="4"/>
      <c r="D31" s="12" t="s">
        <v>194</v>
      </c>
      <c r="E31" s="4" t="s">
        <v>180</v>
      </c>
      <c r="F31" s="13" t="s">
        <v>164</v>
      </c>
      <c r="G31" s="4" t="s">
        <v>692</v>
      </c>
      <c r="H31" s="39">
        <v>13.87</v>
      </c>
      <c r="I31" s="30">
        <f t="shared" si="0"/>
        <v>2450</v>
      </c>
      <c r="J31" s="30"/>
      <c r="K31" s="3"/>
      <c r="L31" s="30"/>
      <c r="M31" s="3"/>
      <c r="N31" s="35">
        <v>2450</v>
      </c>
      <c r="O31" s="21">
        <v>1</v>
      </c>
      <c r="P31" s="21">
        <v>2.5</v>
      </c>
      <c r="Q31" s="21">
        <v>1.7</v>
      </c>
      <c r="R31" s="21">
        <v>2.2999999999999998</v>
      </c>
      <c r="S31" s="35"/>
      <c r="T31" s="21"/>
      <c r="U31" s="21"/>
      <c r="V31" s="21"/>
      <c r="W31" s="3"/>
      <c r="X31" s="3" t="s">
        <v>1282</v>
      </c>
      <c r="Y31" s="3" t="s">
        <v>758</v>
      </c>
      <c r="Z31" s="3" t="s">
        <v>761</v>
      </c>
      <c r="AA31" s="3" t="s">
        <v>765</v>
      </c>
      <c r="AB31" s="3" t="s">
        <v>761</v>
      </c>
    </row>
    <row r="32" spans="1:28" s="1" customFormat="1" hidden="1" x14ac:dyDescent="0.3">
      <c r="A32" s="2">
        <v>28</v>
      </c>
      <c r="B32" s="4" t="s">
        <v>138</v>
      </c>
      <c r="C32" s="4" t="s">
        <v>166</v>
      </c>
      <c r="D32" s="13" t="s">
        <v>165</v>
      </c>
      <c r="E32" s="4" t="s">
        <v>181</v>
      </c>
      <c r="F32" s="12" t="s">
        <v>139</v>
      </c>
      <c r="G32" s="4" t="s">
        <v>693</v>
      </c>
      <c r="H32" s="39" t="s">
        <v>1278</v>
      </c>
      <c r="I32" s="30">
        <f t="shared" si="0"/>
        <v>3197</v>
      </c>
      <c r="J32" s="30"/>
      <c r="K32" s="3"/>
      <c r="L32" s="30"/>
      <c r="M32" s="3"/>
      <c r="N32" s="35">
        <f>299+1689+1209</f>
        <v>3197</v>
      </c>
      <c r="O32" s="21">
        <v>1.5</v>
      </c>
      <c r="P32" s="21">
        <v>2</v>
      </c>
      <c r="Q32" s="21">
        <v>2</v>
      </c>
      <c r="R32" s="21">
        <v>2</v>
      </c>
      <c r="S32" s="35"/>
      <c r="T32" s="21"/>
      <c r="U32" s="21"/>
      <c r="V32" s="21"/>
      <c r="W32" s="3"/>
      <c r="X32" s="3"/>
      <c r="Y32" s="3" t="s">
        <v>762</v>
      </c>
      <c r="Z32" s="3" t="s">
        <v>763</v>
      </c>
      <c r="AA32" s="3" t="s">
        <v>760</v>
      </c>
      <c r="AB32" s="3" t="s">
        <v>759</v>
      </c>
    </row>
    <row r="33" spans="1:28" s="1" customFormat="1" hidden="1" x14ac:dyDescent="0.3">
      <c r="A33" s="2">
        <v>29</v>
      </c>
      <c r="B33" s="4" t="s">
        <v>138</v>
      </c>
      <c r="C33" s="4" t="s">
        <v>170</v>
      </c>
      <c r="D33" s="12" t="s">
        <v>167</v>
      </c>
      <c r="E33" s="4" t="s">
        <v>169</v>
      </c>
      <c r="F33" s="12" t="s">
        <v>168</v>
      </c>
      <c r="G33" s="4" t="s">
        <v>169</v>
      </c>
      <c r="H33" s="39" t="s">
        <v>1278</v>
      </c>
      <c r="I33" s="30">
        <f t="shared" si="0"/>
        <v>252</v>
      </c>
      <c r="J33" s="30"/>
      <c r="K33" s="3"/>
      <c r="L33" s="30"/>
      <c r="M33" s="3"/>
      <c r="N33" s="35"/>
      <c r="O33" s="21"/>
      <c r="P33" s="21"/>
      <c r="Q33" s="21"/>
      <c r="R33" s="21"/>
      <c r="S33" s="35">
        <v>252</v>
      </c>
      <c r="T33" s="21">
        <v>5</v>
      </c>
      <c r="U33" s="21">
        <v>5</v>
      </c>
      <c r="V33" s="21">
        <v>5</v>
      </c>
      <c r="W33" s="3">
        <v>5</v>
      </c>
      <c r="X33" s="3"/>
      <c r="Y33" s="3" t="s">
        <v>762</v>
      </c>
      <c r="Z33" s="3" t="s">
        <v>1196</v>
      </c>
      <c r="AA33" s="3"/>
      <c r="AB33" s="3"/>
    </row>
    <row r="34" spans="1:28" s="1" customFormat="1" hidden="1" x14ac:dyDescent="0.3">
      <c r="A34" s="2">
        <v>30</v>
      </c>
      <c r="B34" s="4" t="s">
        <v>140</v>
      </c>
      <c r="C34" s="4" t="s">
        <v>181</v>
      </c>
      <c r="D34" s="12" t="s">
        <v>141</v>
      </c>
      <c r="E34" s="4" t="s">
        <v>195</v>
      </c>
      <c r="F34" s="12" t="s">
        <v>171</v>
      </c>
      <c r="G34" s="4" t="s">
        <v>142</v>
      </c>
      <c r="H34" s="39">
        <v>3.85</v>
      </c>
      <c r="I34" s="30">
        <f t="shared" si="0"/>
        <v>4222</v>
      </c>
      <c r="J34" s="30"/>
      <c r="K34" s="3"/>
      <c r="L34" s="30"/>
      <c r="M34" s="3"/>
      <c r="N34" s="35">
        <f>2199+2023</f>
        <v>4222</v>
      </c>
      <c r="O34" s="21">
        <v>1.7</v>
      </c>
      <c r="P34" s="21">
        <v>1.7</v>
      </c>
      <c r="Q34" s="21">
        <v>2</v>
      </c>
      <c r="R34" s="21">
        <v>2.5</v>
      </c>
      <c r="S34" s="35"/>
      <c r="T34" s="21"/>
      <c r="U34" s="21"/>
      <c r="V34" s="21"/>
      <c r="W34" s="3"/>
      <c r="X34" s="3" t="s">
        <v>1283</v>
      </c>
      <c r="Y34" s="3" t="s">
        <v>762</v>
      </c>
      <c r="Z34" s="3" t="s">
        <v>763</v>
      </c>
      <c r="AA34" s="3" t="s">
        <v>1182</v>
      </c>
      <c r="AB34" s="3" t="s">
        <v>764</v>
      </c>
    </row>
    <row r="35" spans="1:28" s="1" customFormat="1" hidden="1" x14ac:dyDescent="0.3">
      <c r="A35" s="2">
        <v>31</v>
      </c>
      <c r="B35" s="4" t="s">
        <v>140</v>
      </c>
      <c r="C35" s="4" t="s">
        <v>694</v>
      </c>
      <c r="D35" s="12" t="s">
        <v>173</v>
      </c>
      <c r="E35" s="4" t="s">
        <v>195</v>
      </c>
      <c r="F35" s="12" t="s">
        <v>172</v>
      </c>
      <c r="G35" s="4" t="s">
        <v>195</v>
      </c>
      <c r="H35" s="39" t="s">
        <v>1278</v>
      </c>
      <c r="I35" s="30">
        <f t="shared" si="0"/>
        <v>222</v>
      </c>
      <c r="J35" s="30"/>
      <c r="K35" s="3"/>
      <c r="L35" s="30"/>
      <c r="M35" s="3"/>
      <c r="N35" s="35"/>
      <c r="O35" s="21"/>
      <c r="P35" s="21"/>
      <c r="Q35" s="21"/>
      <c r="R35" s="21"/>
      <c r="S35" s="35">
        <v>222</v>
      </c>
      <c r="T35" s="21">
        <v>4.2</v>
      </c>
      <c r="U35" s="21">
        <v>4.2</v>
      </c>
      <c r="V35" s="21">
        <v>4.2</v>
      </c>
      <c r="W35" s="21">
        <v>4.2</v>
      </c>
      <c r="X35" s="3"/>
      <c r="Y35" s="3" t="s">
        <v>762</v>
      </c>
      <c r="Z35" s="3" t="s">
        <v>763</v>
      </c>
      <c r="AA35" s="3"/>
      <c r="AB35" s="3"/>
    </row>
    <row r="36" spans="1:28" s="1" customFormat="1" hidden="1" x14ac:dyDescent="0.3">
      <c r="A36" s="2">
        <v>32</v>
      </c>
      <c r="B36" s="4" t="s">
        <v>140</v>
      </c>
      <c r="C36" s="4" t="s">
        <v>31</v>
      </c>
      <c r="D36" s="12" t="s">
        <v>172</v>
      </c>
      <c r="E36" s="4" t="s">
        <v>776</v>
      </c>
      <c r="F36" s="12" t="s">
        <v>777</v>
      </c>
      <c r="G36" s="4" t="s">
        <v>778</v>
      </c>
      <c r="H36" s="39" t="s">
        <v>1278</v>
      </c>
      <c r="I36" s="30">
        <f t="shared" si="0"/>
        <v>1222</v>
      </c>
      <c r="J36" s="30"/>
      <c r="K36" s="3"/>
      <c r="L36" s="30"/>
      <c r="M36" s="3"/>
      <c r="N36" s="35">
        <f>905+222+95</f>
        <v>1222</v>
      </c>
      <c r="O36" s="21">
        <v>1.7</v>
      </c>
      <c r="P36" s="21">
        <v>1.7</v>
      </c>
      <c r="Q36" s="21">
        <v>2</v>
      </c>
      <c r="R36" s="21">
        <v>2.5</v>
      </c>
      <c r="S36" s="35"/>
      <c r="T36" s="21"/>
      <c r="U36" s="21"/>
      <c r="V36" s="21"/>
      <c r="W36" s="3"/>
      <c r="X36" s="3"/>
      <c r="Y36" s="3" t="s">
        <v>762</v>
      </c>
      <c r="Z36" s="3" t="s">
        <v>763</v>
      </c>
      <c r="AA36" s="3" t="s">
        <v>760</v>
      </c>
      <c r="AB36" s="3" t="s">
        <v>759</v>
      </c>
    </row>
    <row r="37" spans="1:28" s="1" customFormat="1" hidden="1" x14ac:dyDescent="0.3">
      <c r="A37" s="2">
        <v>33</v>
      </c>
      <c r="B37" s="4" t="s">
        <v>140</v>
      </c>
      <c r="C37" s="4" t="s">
        <v>779</v>
      </c>
      <c r="D37" s="12" t="s">
        <v>780</v>
      </c>
      <c r="E37" s="4" t="s">
        <v>781</v>
      </c>
      <c r="F37" s="12" t="s">
        <v>174</v>
      </c>
      <c r="G37" s="4" t="s">
        <v>778</v>
      </c>
      <c r="H37" s="39" t="s">
        <v>1278</v>
      </c>
      <c r="I37" s="30">
        <f t="shared" si="0"/>
        <v>444</v>
      </c>
      <c r="J37" s="30"/>
      <c r="K37" s="3"/>
      <c r="L37" s="30"/>
      <c r="M37" s="3"/>
      <c r="N37" s="35"/>
      <c r="O37" s="21"/>
      <c r="P37" s="21"/>
      <c r="Q37" s="21"/>
      <c r="R37" s="21"/>
      <c r="S37" s="35">
        <v>444</v>
      </c>
      <c r="T37" s="21">
        <v>3.7</v>
      </c>
      <c r="U37" s="21">
        <v>3.7</v>
      </c>
      <c r="V37" s="21">
        <v>3.7</v>
      </c>
      <c r="W37" s="21">
        <v>3.7</v>
      </c>
      <c r="X37" s="3"/>
      <c r="Y37" s="3" t="s">
        <v>760</v>
      </c>
      <c r="Z37" s="3" t="s">
        <v>759</v>
      </c>
      <c r="AA37" s="3"/>
      <c r="AB37" s="3"/>
    </row>
    <row r="38" spans="1:28" s="1" customFormat="1" hidden="1" x14ac:dyDescent="0.3">
      <c r="A38" s="2">
        <v>34</v>
      </c>
      <c r="B38" s="4" t="s">
        <v>140</v>
      </c>
      <c r="C38" s="4" t="s">
        <v>776</v>
      </c>
      <c r="D38" s="12" t="s">
        <v>777</v>
      </c>
      <c r="E38" s="4" t="s">
        <v>782</v>
      </c>
      <c r="F38" s="12" t="s">
        <v>783</v>
      </c>
      <c r="G38" s="4" t="s">
        <v>784</v>
      </c>
      <c r="H38" s="39" t="s">
        <v>1278</v>
      </c>
      <c r="I38" s="30">
        <f t="shared" si="0"/>
        <v>1196</v>
      </c>
      <c r="J38" s="30"/>
      <c r="K38" s="3"/>
      <c r="L38" s="30"/>
      <c r="M38" s="3"/>
      <c r="N38" s="35"/>
      <c r="O38" s="21"/>
      <c r="P38" s="21"/>
      <c r="Q38" s="21"/>
      <c r="R38" s="21"/>
      <c r="S38" s="35">
        <f>650+546</f>
        <v>1196</v>
      </c>
      <c r="T38" s="21">
        <v>3.7</v>
      </c>
      <c r="U38" s="21">
        <v>4.2</v>
      </c>
      <c r="V38" s="21">
        <v>3.7</v>
      </c>
      <c r="W38" s="3">
        <v>4.2</v>
      </c>
      <c r="X38" s="3"/>
      <c r="Y38" s="3" t="s">
        <v>762</v>
      </c>
      <c r="Z38" s="3" t="s">
        <v>1196</v>
      </c>
      <c r="AA38" s="3"/>
      <c r="AB38" s="3"/>
    </row>
    <row r="39" spans="1:28" s="1" customFormat="1" hidden="1" x14ac:dyDescent="0.3">
      <c r="A39" s="2">
        <v>35</v>
      </c>
      <c r="B39" s="4" t="s">
        <v>797</v>
      </c>
      <c r="C39" s="4" t="s">
        <v>798</v>
      </c>
      <c r="D39" s="12" t="s">
        <v>148</v>
      </c>
      <c r="E39" s="4" t="s">
        <v>799</v>
      </c>
      <c r="F39" s="12" t="s">
        <v>147</v>
      </c>
      <c r="G39" s="4" t="s">
        <v>800</v>
      </c>
      <c r="H39" s="39">
        <v>11.21</v>
      </c>
      <c r="I39" s="30">
        <f t="shared" si="0"/>
        <v>1597</v>
      </c>
      <c r="J39" s="30"/>
      <c r="K39" s="3"/>
      <c r="L39" s="30"/>
      <c r="M39" s="3"/>
      <c r="N39" s="35">
        <f>845+752</f>
        <v>1597</v>
      </c>
      <c r="O39" s="21">
        <v>3</v>
      </c>
      <c r="P39" s="21">
        <v>3</v>
      </c>
      <c r="Q39" s="21">
        <v>1.5</v>
      </c>
      <c r="R39" s="21">
        <v>1.5</v>
      </c>
      <c r="S39" s="35"/>
      <c r="T39" s="21"/>
      <c r="U39" s="21"/>
      <c r="V39" s="21"/>
      <c r="W39" s="3"/>
      <c r="X39" s="3" t="s">
        <v>1280</v>
      </c>
      <c r="Y39" s="3" t="s">
        <v>762</v>
      </c>
      <c r="Z39" s="3" t="s">
        <v>763</v>
      </c>
      <c r="AA39" s="3" t="s">
        <v>760</v>
      </c>
      <c r="AB39" s="3" t="s">
        <v>759</v>
      </c>
    </row>
    <row r="40" spans="1:28" s="1" customFormat="1" hidden="1" x14ac:dyDescent="0.3">
      <c r="A40" s="2">
        <v>36</v>
      </c>
      <c r="B40" s="4" t="s">
        <v>105</v>
      </c>
      <c r="C40" s="4" t="s">
        <v>684</v>
      </c>
      <c r="D40" s="12" t="s">
        <v>687</v>
      </c>
      <c r="E40" s="4" t="s">
        <v>179</v>
      </c>
      <c r="F40" s="12" t="s">
        <v>106</v>
      </c>
      <c r="G40" s="4" t="s">
        <v>157</v>
      </c>
      <c r="H40" s="39">
        <v>3.24</v>
      </c>
      <c r="I40" s="30">
        <f t="shared" si="0"/>
        <v>5715</v>
      </c>
      <c r="J40" s="30"/>
      <c r="K40" s="3"/>
      <c r="L40" s="30"/>
      <c r="M40" s="3"/>
      <c r="N40" s="35"/>
      <c r="O40" s="21"/>
      <c r="P40" s="21"/>
      <c r="Q40" s="21"/>
      <c r="R40" s="21"/>
      <c r="S40" s="35">
        <f>3117+2598</f>
        <v>5715</v>
      </c>
      <c r="T40" s="24">
        <v>4</v>
      </c>
      <c r="U40" s="21">
        <v>4</v>
      </c>
      <c r="V40" s="21">
        <v>2.5</v>
      </c>
      <c r="W40" s="3">
        <v>2.5</v>
      </c>
      <c r="X40" s="3" t="s">
        <v>1281</v>
      </c>
      <c r="Y40" s="3" t="s">
        <v>1175</v>
      </c>
      <c r="Z40" s="3" t="s">
        <v>1194</v>
      </c>
      <c r="AA40" s="3"/>
      <c r="AB40" s="3"/>
    </row>
    <row r="41" spans="1:28" x14ac:dyDescent="0.3">
      <c r="A41" s="50">
        <v>37</v>
      </c>
      <c r="B41" s="57" t="s">
        <v>20</v>
      </c>
      <c r="C41" s="57" t="s">
        <v>179</v>
      </c>
      <c r="D41" s="58" t="s">
        <v>216</v>
      </c>
      <c r="E41" s="57" t="s">
        <v>835</v>
      </c>
      <c r="F41" s="58" t="s">
        <v>696</v>
      </c>
      <c r="G41" s="57" t="s">
        <v>836</v>
      </c>
      <c r="H41" s="59">
        <v>31.23</v>
      </c>
      <c r="I41" s="53">
        <f t="shared" si="0"/>
        <v>427</v>
      </c>
      <c r="J41" s="53"/>
      <c r="K41" s="54"/>
      <c r="L41" s="53"/>
      <c r="M41" s="54"/>
      <c r="N41" s="60"/>
      <c r="O41" s="61"/>
      <c r="P41" s="61"/>
      <c r="Q41" s="61"/>
      <c r="R41" s="61"/>
      <c r="S41" s="60">
        <f>316+111</f>
        <v>427</v>
      </c>
      <c r="T41" s="61">
        <v>4</v>
      </c>
      <c r="U41" s="61">
        <v>4</v>
      </c>
      <c r="V41" s="61">
        <v>2.8</v>
      </c>
      <c r="W41" s="54">
        <v>2.8</v>
      </c>
      <c r="X41" s="54" t="s">
        <v>1281</v>
      </c>
      <c r="Y41" s="54" t="s">
        <v>765</v>
      </c>
      <c r="Z41" s="54" t="s">
        <v>837</v>
      </c>
      <c r="AA41" s="54"/>
      <c r="AB41" s="54"/>
    </row>
    <row r="42" spans="1:28" x14ac:dyDescent="0.3">
      <c r="A42" s="50">
        <v>38</v>
      </c>
      <c r="B42" s="57" t="s">
        <v>20</v>
      </c>
      <c r="C42" s="57" t="s">
        <v>838</v>
      </c>
      <c r="D42" s="58" t="s">
        <v>839</v>
      </c>
      <c r="E42" s="57" t="s">
        <v>840</v>
      </c>
      <c r="F42" s="58" t="s">
        <v>217</v>
      </c>
      <c r="G42" s="57" t="s">
        <v>841</v>
      </c>
      <c r="H42" s="59" t="s">
        <v>1278</v>
      </c>
      <c r="I42" s="53">
        <f t="shared" si="0"/>
        <v>5157</v>
      </c>
      <c r="J42" s="53"/>
      <c r="K42" s="54"/>
      <c r="L42" s="53"/>
      <c r="M42" s="54"/>
      <c r="N42" s="60">
        <f>199+1068+641+1216+1528+286+219</f>
        <v>5157</v>
      </c>
      <c r="O42" s="61">
        <v>1</v>
      </c>
      <c r="P42" s="61">
        <v>1.8</v>
      </c>
      <c r="Q42" s="61">
        <v>1.3</v>
      </c>
      <c r="R42" s="61">
        <v>3</v>
      </c>
      <c r="S42" s="60"/>
      <c r="T42" s="61"/>
      <c r="U42" s="61"/>
      <c r="V42" s="61"/>
      <c r="W42" s="54"/>
      <c r="X42" s="54"/>
      <c r="Y42" s="54" t="s">
        <v>1175</v>
      </c>
      <c r="Z42" s="54" t="s">
        <v>763</v>
      </c>
      <c r="AA42" s="54" t="s">
        <v>1193</v>
      </c>
      <c r="AB42" s="54" t="s">
        <v>764</v>
      </c>
    </row>
    <row r="43" spans="1:28" s="1" customFormat="1" hidden="1" x14ac:dyDescent="0.3">
      <c r="A43" s="2">
        <v>39</v>
      </c>
      <c r="B43" s="4" t="s">
        <v>115</v>
      </c>
      <c r="C43" s="4" t="s">
        <v>118</v>
      </c>
      <c r="D43" s="10" t="s">
        <v>117</v>
      </c>
      <c r="E43" s="7" t="s">
        <v>688</v>
      </c>
      <c r="F43" s="10" t="s">
        <v>116</v>
      </c>
      <c r="G43" s="4" t="s">
        <v>689</v>
      </c>
      <c r="H43" s="39">
        <v>8.9499999999999993</v>
      </c>
      <c r="I43" s="30">
        <f t="shared" si="0"/>
        <v>472</v>
      </c>
      <c r="J43" s="30"/>
      <c r="K43" s="3"/>
      <c r="L43" s="30"/>
      <c r="M43" s="3"/>
      <c r="N43" s="35">
        <f>199+273</f>
        <v>472</v>
      </c>
      <c r="O43" s="21">
        <v>1.5</v>
      </c>
      <c r="P43" s="21">
        <v>1.5</v>
      </c>
      <c r="Q43" s="21">
        <v>2.5</v>
      </c>
      <c r="R43" s="21">
        <v>2.5</v>
      </c>
      <c r="S43" s="35"/>
      <c r="T43" s="21"/>
      <c r="U43" s="21"/>
      <c r="V43" s="21"/>
      <c r="W43" s="3"/>
      <c r="X43" s="3" t="s">
        <v>1282</v>
      </c>
      <c r="Y43" s="3" t="s">
        <v>762</v>
      </c>
      <c r="Z43" s="3" t="s">
        <v>763</v>
      </c>
      <c r="AA43" s="3" t="s">
        <v>760</v>
      </c>
      <c r="AB43" s="3" t="s">
        <v>759</v>
      </c>
    </row>
    <row r="44" spans="1:28" s="1" customFormat="1" hidden="1" x14ac:dyDescent="0.3">
      <c r="A44" s="2">
        <v>40</v>
      </c>
      <c r="B44" s="4" t="s">
        <v>115</v>
      </c>
      <c r="C44" s="7" t="s">
        <v>688</v>
      </c>
      <c r="D44" s="10" t="s">
        <v>1442</v>
      </c>
      <c r="E44" s="4" t="s">
        <v>119</v>
      </c>
      <c r="F44" s="10" t="s">
        <v>1443</v>
      </c>
      <c r="G44" s="4" t="s">
        <v>690</v>
      </c>
      <c r="H44" s="39" t="s">
        <v>1278</v>
      </c>
      <c r="I44" s="30">
        <f t="shared" si="0"/>
        <v>3567</v>
      </c>
      <c r="J44" s="30">
        <f>1733+1834</f>
        <v>3567</v>
      </c>
      <c r="K44" s="3" t="s">
        <v>743</v>
      </c>
      <c r="L44" s="30"/>
      <c r="M44" s="3"/>
      <c r="N44" s="35"/>
      <c r="O44" s="21"/>
      <c r="P44" s="21"/>
      <c r="Q44" s="21"/>
      <c r="R44" s="21"/>
      <c r="S44" s="35"/>
      <c r="T44" s="21"/>
      <c r="U44" s="21"/>
      <c r="V44" s="21"/>
      <c r="W44" s="3"/>
      <c r="X44" s="3"/>
      <c r="Y44" s="3" t="s">
        <v>760</v>
      </c>
      <c r="Z44" s="3" t="s">
        <v>759</v>
      </c>
      <c r="AA44" s="3"/>
      <c r="AB44" s="3"/>
    </row>
    <row r="45" spans="1:28" s="1" customFormat="1" hidden="1" x14ac:dyDescent="0.3">
      <c r="A45" s="2">
        <v>41</v>
      </c>
      <c r="B45" s="4" t="s">
        <v>115</v>
      </c>
      <c r="C45" s="4" t="s">
        <v>119</v>
      </c>
      <c r="D45" s="10" t="s">
        <v>120</v>
      </c>
      <c r="E45" s="4" t="s">
        <v>192</v>
      </c>
      <c r="F45" s="10" t="s">
        <v>121</v>
      </c>
      <c r="G45" s="4" t="s">
        <v>691</v>
      </c>
      <c r="H45" s="39" t="s">
        <v>1278</v>
      </c>
      <c r="I45" s="30">
        <f t="shared" si="0"/>
        <v>143</v>
      </c>
      <c r="J45" s="30"/>
      <c r="K45" s="3"/>
      <c r="L45" s="30"/>
      <c r="M45" s="3"/>
      <c r="N45" s="35"/>
      <c r="O45" s="21"/>
      <c r="P45" s="21"/>
      <c r="Q45" s="21"/>
      <c r="R45" s="21"/>
      <c r="S45" s="35">
        <v>143</v>
      </c>
      <c r="T45" s="21">
        <v>2</v>
      </c>
      <c r="U45" s="21">
        <v>4.5</v>
      </c>
      <c r="V45" s="21">
        <v>2</v>
      </c>
      <c r="W45" s="3">
        <v>3</v>
      </c>
      <c r="X45" s="3"/>
      <c r="Y45" s="3" t="s">
        <v>1175</v>
      </c>
      <c r="Z45" s="3" t="s">
        <v>763</v>
      </c>
      <c r="AA45" s="3"/>
      <c r="AB45" s="3"/>
    </row>
    <row r="46" spans="1:28" s="1" customFormat="1" hidden="1" x14ac:dyDescent="0.3">
      <c r="A46" s="2">
        <v>42</v>
      </c>
      <c r="B46" s="4" t="s">
        <v>115</v>
      </c>
      <c r="C46" s="4" t="s">
        <v>192</v>
      </c>
      <c r="D46" s="12" t="s">
        <v>682</v>
      </c>
      <c r="E46" s="4" t="s">
        <v>176</v>
      </c>
      <c r="F46" s="10" t="s">
        <v>162</v>
      </c>
      <c r="G46" s="4" t="s">
        <v>122</v>
      </c>
      <c r="H46" s="39" t="s">
        <v>1278</v>
      </c>
      <c r="I46" s="30">
        <f t="shared" si="0"/>
        <v>8903</v>
      </c>
      <c r="J46" s="30"/>
      <c r="K46" s="3"/>
      <c r="L46" s="30"/>
      <c r="M46" s="3"/>
      <c r="N46" s="35">
        <f>4482+4421</f>
        <v>8903</v>
      </c>
      <c r="O46" s="21">
        <v>1.5</v>
      </c>
      <c r="P46" s="21">
        <v>3</v>
      </c>
      <c r="Q46" s="21">
        <v>1.8</v>
      </c>
      <c r="R46" s="21">
        <v>2.5</v>
      </c>
      <c r="S46" s="35"/>
      <c r="T46" s="21"/>
      <c r="U46" s="21"/>
      <c r="V46" s="21"/>
      <c r="W46" s="3"/>
      <c r="X46" s="3"/>
      <c r="Y46" s="3" t="s">
        <v>1176</v>
      </c>
      <c r="Z46" s="3" t="s">
        <v>1195</v>
      </c>
      <c r="AA46" s="3" t="s">
        <v>1182</v>
      </c>
      <c r="AB46" s="3" t="s">
        <v>759</v>
      </c>
    </row>
    <row r="47" spans="1:28" s="1" customFormat="1" hidden="1" x14ac:dyDescent="0.3">
      <c r="A47" s="2">
        <v>43</v>
      </c>
      <c r="B47" s="4" t="s">
        <v>115</v>
      </c>
      <c r="C47" s="4" t="s">
        <v>176</v>
      </c>
      <c r="D47" s="10" t="s">
        <v>163</v>
      </c>
      <c r="E47" s="4" t="s">
        <v>123</v>
      </c>
      <c r="F47" s="10" t="s">
        <v>124</v>
      </c>
      <c r="G47" s="4" t="s">
        <v>176</v>
      </c>
      <c r="H47" s="39" t="s">
        <v>1278</v>
      </c>
      <c r="I47" s="30">
        <f t="shared" si="0"/>
        <v>448</v>
      </c>
      <c r="J47" s="30"/>
      <c r="K47" s="3"/>
      <c r="L47" s="30"/>
      <c r="M47" s="3"/>
      <c r="N47" s="35"/>
      <c r="O47" s="21"/>
      <c r="P47" s="21"/>
      <c r="Q47" s="21"/>
      <c r="R47" s="21"/>
      <c r="S47" s="35">
        <f>263+185</f>
        <v>448</v>
      </c>
      <c r="T47" s="21">
        <v>3.8</v>
      </c>
      <c r="U47" s="21">
        <v>4.5</v>
      </c>
      <c r="V47" s="21">
        <v>3.3</v>
      </c>
      <c r="W47" s="3">
        <v>3.8</v>
      </c>
      <c r="X47" s="3"/>
      <c r="Y47" s="3" t="s">
        <v>762</v>
      </c>
      <c r="Z47" s="3" t="s">
        <v>763</v>
      </c>
      <c r="AA47" s="3"/>
      <c r="AB47" s="3"/>
    </row>
    <row r="48" spans="1:28" x14ac:dyDescent="0.3">
      <c r="A48" s="50">
        <v>44</v>
      </c>
      <c r="B48" s="57" t="s">
        <v>115</v>
      </c>
      <c r="C48" s="57" t="s">
        <v>123</v>
      </c>
      <c r="D48" s="62" t="s">
        <v>124</v>
      </c>
      <c r="E48" s="57" t="s">
        <v>184</v>
      </c>
      <c r="F48" s="62" t="s">
        <v>125</v>
      </c>
      <c r="G48" s="57" t="s">
        <v>126</v>
      </c>
      <c r="H48" s="59" t="s">
        <v>1278</v>
      </c>
      <c r="I48" s="53">
        <f t="shared" si="0"/>
        <v>3485</v>
      </c>
      <c r="J48" s="53"/>
      <c r="K48" s="54"/>
      <c r="L48" s="53"/>
      <c r="M48" s="54"/>
      <c r="N48" s="60">
        <f>1766+1719</f>
        <v>3485</v>
      </c>
      <c r="O48" s="61">
        <v>1.5</v>
      </c>
      <c r="P48" s="61">
        <v>3</v>
      </c>
      <c r="Q48" s="61">
        <v>1.5</v>
      </c>
      <c r="R48" s="61">
        <v>2</v>
      </c>
      <c r="S48" s="60"/>
      <c r="T48" s="61"/>
      <c r="U48" s="61"/>
      <c r="V48" s="61"/>
      <c r="W48" s="54"/>
      <c r="X48" s="54"/>
      <c r="Y48" s="54" t="s">
        <v>1178</v>
      </c>
      <c r="Z48" s="54" t="s">
        <v>764</v>
      </c>
      <c r="AA48" s="54" t="s">
        <v>760</v>
      </c>
      <c r="AB48" s="54" t="s">
        <v>759</v>
      </c>
    </row>
    <row r="49" spans="1:28" x14ac:dyDescent="0.3">
      <c r="A49" s="50">
        <v>45</v>
      </c>
      <c r="B49" s="57" t="s">
        <v>115</v>
      </c>
      <c r="C49" s="57" t="s">
        <v>193</v>
      </c>
      <c r="D49" s="62" t="s">
        <v>127</v>
      </c>
      <c r="E49" s="57" t="s">
        <v>184</v>
      </c>
      <c r="F49" s="62" t="s">
        <v>128</v>
      </c>
      <c r="G49" s="57"/>
      <c r="H49" s="59" t="s">
        <v>1278</v>
      </c>
      <c r="I49" s="53">
        <f t="shared" si="0"/>
        <v>53</v>
      </c>
      <c r="J49" s="53"/>
      <c r="K49" s="54"/>
      <c r="L49" s="53"/>
      <c r="M49" s="54"/>
      <c r="N49" s="60"/>
      <c r="O49" s="61"/>
      <c r="P49" s="61"/>
      <c r="Q49" s="61"/>
      <c r="R49" s="61"/>
      <c r="S49" s="60">
        <v>53</v>
      </c>
      <c r="T49" s="61">
        <v>4</v>
      </c>
      <c r="U49" s="61">
        <v>4</v>
      </c>
      <c r="V49" s="61">
        <v>4</v>
      </c>
      <c r="W49" s="61">
        <v>4</v>
      </c>
      <c r="X49" s="54"/>
      <c r="Y49" s="54" t="s">
        <v>762</v>
      </c>
      <c r="Z49" s="54" t="s">
        <v>1196</v>
      </c>
      <c r="AA49" s="54"/>
      <c r="AB49" s="54"/>
    </row>
    <row r="50" spans="1:28" s="1" customFormat="1" hidden="1" x14ac:dyDescent="0.3">
      <c r="A50" s="2">
        <v>46</v>
      </c>
      <c r="B50" s="4" t="s">
        <v>1000</v>
      </c>
      <c r="C50" s="9" t="s">
        <v>11</v>
      </c>
      <c r="D50" s="9" t="s">
        <v>441</v>
      </c>
      <c r="E50" s="9" t="s">
        <v>70</v>
      </c>
      <c r="F50" s="9" t="s">
        <v>442</v>
      </c>
      <c r="G50" s="9" t="s">
        <v>1001</v>
      </c>
      <c r="H50" s="40">
        <v>1.1200000000000001</v>
      </c>
      <c r="I50" s="30">
        <f t="shared" si="0"/>
        <v>2172</v>
      </c>
      <c r="J50" s="31"/>
      <c r="K50" s="9"/>
      <c r="L50" s="31"/>
      <c r="M50" s="9"/>
      <c r="N50" s="31"/>
      <c r="O50" s="22"/>
      <c r="P50" s="22"/>
      <c r="Q50" s="22"/>
      <c r="R50" s="22"/>
      <c r="S50" s="31">
        <f>1088+1084</f>
        <v>2172</v>
      </c>
      <c r="T50" s="22">
        <v>3.2</v>
      </c>
      <c r="U50" s="22">
        <v>3.5</v>
      </c>
      <c r="V50" s="22">
        <v>2</v>
      </c>
      <c r="W50" s="22">
        <v>2.2999999999999998</v>
      </c>
      <c r="X50" s="9" t="s">
        <v>1294</v>
      </c>
      <c r="Y50" s="9" t="s">
        <v>1192</v>
      </c>
      <c r="Z50" s="9" t="s">
        <v>764</v>
      </c>
      <c r="AA50" s="9"/>
      <c r="AB50" s="9"/>
    </row>
    <row r="51" spans="1:28" s="1" customFormat="1" hidden="1" x14ac:dyDescent="0.3">
      <c r="A51" s="2">
        <v>47</v>
      </c>
      <c r="B51" s="4" t="s">
        <v>1305</v>
      </c>
      <c r="C51" s="4" t="s">
        <v>1000</v>
      </c>
      <c r="D51" s="9" t="s">
        <v>1306</v>
      </c>
      <c r="E51" s="9" t="s">
        <v>1308</v>
      </c>
      <c r="F51" s="9" t="s">
        <v>1307</v>
      </c>
      <c r="G51" s="9"/>
      <c r="H51" s="40">
        <v>0.66</v>
      </c>
      <c r="I51" s="30">
        <f t="shared" si="0"/>
        <v>160</v>
      </c>
      <c r="J51" s="31"/>
      <c r="K51" s="9"/>
      <c r="L51" s="31"/>
      <c r="M51" s="9"/>
      <c r="N51" s="31"/>
      <c r="O51" s="22"/>
      <c r="P51" s="22"/>
      <c r="Q51" s="22"/>
      <c r="R51" s="22"/>
      <c r="S51" s="31">
        <v>160</v>
      </c>
      <c r="T51" s="22">
        <v>3</v>
      </c>
      <c r="U51" s="22">
        <v>3</v>
      </c>
      <c r="V51" s="22">
        <v>1.8</v>
      </c>
      <c r="W51" s="22">
        <v>1.8</v>
      </c>
      <c r="X51" s="9" t="s">
        <v>1309</v>
      </c>
      <c r="Y51" s="9" t="s">
        <v>1310</v>
      </c>
      <c r="Z51" s="9" t="s">
        <v>1311</v>
      </c>
      <c r="AA51" s="9"/>
      <c r="AB51" s="9"/>
    </row>
    <row r="52" spans="1:28" s="1" customFormat="1" hidden="1" x14ac:dyDescent="0.3">
      <c r="A52" s="2">
        <v>48</v>
      </c>
      <c r="B52" s="4" t="s">
        <v>1003</v>
      </c>
      <c r="C52" s="9" t="s">
        <v>1004</v>
      </c>
      <c r="D52" s="9" t="s">
        <v>1005</v>
      </c>
      <c r="E52" s="9" t="s">
        <v>115</v>
      </c>
      <c r="F52" s="9" t="s">
        <v>1006</v>
      </c>
      <c r="G52" s="9" t="s">
        <v>1007</v>
      </c>
      <c r="H52" s="40">
        <v>0.61</v>
      </c>
      <c r="I52" s="30">
        <f t="shared" si="0"/>
        <v>1363</v>
      </c>
      <c r="J52" s="31"/>
      <c r="K52" s="9"/>
      <c r="L52" s="31"/>
      <c r="M52" s="9"/>
      <c r="N52" s="31"/>
      <c r="O52" s="22"/>
      <c r="P52" s="22"/>
      <c r="Q52" s="22"/>
      <c r="R52" s="22"/>
      <c r="S52" s="31">
        <f>709+654</f>
        <v>1363</v>
      </c>
      <c r="T52" s="22">
        <v>3</v>
      </c>
      <c r="U52" s="22">
        <v>3.5</v>
      </c>
      <c r="V52" s="22">
        <v>1.8</v>
      </c>
      <c r="W52" s="22">
        <v>2.2999999999999998</v>
      </c>
      <c r="X52" s="9" t="s">
        <v>1294</v>
      </c>
      <c r="Y52" s="9" t="s">
        <v>760</v>
      </c>
      <c r="Z52" s="9" t="s">
        <v>764</v>
      </c>
      <c r="AA52" s="9"/>
      <c r="AB52" s="9"/>
    </row>
    <row r="53" spans="1:28" s="1" customFormat="1" hidden="1" x14ac:dyDescent="0.3">
      <c r="A53" s="2">
        <v>49</v>
      </c>
      <c r="B53" s="4" t="s">
        <v>1002</v>
      </c>
      <c r="C53" s="9" t="s">
        <v>443</v>
      </c>
      <c r="D53" s="9" t="s">
        <v>444</v>
      </c>
      <c r="E53" s="9" t="s">
        <v>115</v>
      </c>
      <c r="F53" s="9" t="s">
        <v>445</v>
      </c>
      <c r="G53" s="9" t="s">
        <v>122</v>
      </c>
      <c r="H53" s="40">
        <v>0.36</v>
      </c>
      <c r="I53" s="30">
        <f t="shared" si="0"/>
        <v>685</v>
      </c>
      <c r="J53" s="31"/>
      <c r="K53" s="9"/>
      <c r="L53" s="31"/>
      <c r="M53" s="9"/>
      <c r="N53" s="31"/>
      <c r="O53" s="22"/>
      <c r="P53" s="22"/>
      <c r="Q53" s="22"/>
      <c r="R53" s="22"/>
      <c r="S53" s="31">
        <f>342+343</f>
        <v>685</v>
      </c>
      <c r="T53" s="22">
        <v>3.5</v>
      </c>
      <c r="U53" s="22">
        <v>3.5</v>
      </c>
      <c r="V53" s="22">
        <v>2.2999999999999998</v>
      </c>
      <c r="W53" s="22">
        <v>2.2999999999999998</v>
      </c>
      <c r="X53" s="9" t="s">
        <v>1294</v>
      </c>
      <c r="Y53" s="9" t="s">
        <v>760</v>
      </c>
      <c r="Z53" s="9" t="s">
        <v>759</v>
      </c>
      <c r="AA53" s="9"/>
      <c r="AB53" s="9"/>
    </row>
    <row r="54" spans="1:28" s="1" customFormat="1" hidden="1" x14ac:dyDescent="0.3">
      <c r="A54" s="2">
        <v>50</v>
      </c>
      <c r="B54" s="10" t="s">
        <v>1156</v>
      </c>
      <c r="C54" s="9" t="s">
        <v>636</v>
      </c>
      <c r="D54" s="12" t="s">
        <v>1157</v>
      </c>
      <c r="E54" s="9" t="s">
        <v>11</v>
      </c>
      <c r="F54" s="12" t="s">
        <v>638</v>
      </c>
      <c r="G54" s="9"/>
      <c r="H54" s="40">
        <v>4.4400000000000004</v>
      </c>
      <c r="I54" s="30">
        <f t="shared" si="0"/>
        <v>2145</v>
      </c>
      <c r="J54" s="31"/>
      <c r="K54" s="9"/>
      <c r="L54" s="31"/>
      <c r="M54" s="9"/>
      <c r="N54" s="31">
        <f>1068+1077</f>
        <v>2145</v>
      </c>
      <c r="O54" s="22">
        <v>1.3</v>
      </c>
      <c r="P54" s="22">
        <v>2.2999999999999998</v>
      </c>
      <c r="Q54" s="22">
        <v>2</v>
      </c>
      <c r="R54" s="22">
        <v>2.5</v>
      </c>
      <c r="S54" s="31"/>
      <c r="T54" s="22"/>
      <c r="U54" s="22"/>
      <c r="V54" s="22"/>
      <c r="W54" s="22"/>
      <c r="X54" s="9" t="s">
        <v>1294</v>
      </c>
      <c r="Y54" s="9" t="s">
        <v>1253</v>
      </c>
      <c r="Z54" s="9" t="s">
        <v>763</v>
      </c>
      <c r="AA54" s="9" t="s">
        <v>1245</v>
      </c>
      <c r="AB54" s="9" t="s">
        <v>759</v>
      </c>
    </row>
    <row r="55" spans="1:28" s="1" customFormat="1" hidden="1" x14ac:dyDescent="0.3">
      <c r="A55" s="2">
        <v>51</v>
      </c>
      <c r="B55" s="10" t="s">
        <v>795</v>
      </c>
      <c r="C55" s="9" t="s">
        <v>987</v>
      </c>
      <c r="D55" s="12" t="s">
        <v>715</v>
      </c>
      <c r="E55" s="9" t="s">
        <v>794</v>
      </c>
      <c r="F55" s="12" t="s">
        <v>716</v>
      </c>
      <c r="G55" s="9"/>
      <c r="H55" s="40">
        <v>2.81</v>
      </c>
      <c r="I55" s="30">
        <f t="shared" si="0"/>
        <v>943</v>
      </c>
      <c r="J55" s="31"/>
      <c r="K55" s="9"/>
      <c r="L55" s="31"/>
      <c r="M55" s="9"/>
      <c r="N55" s="31">
        <f>470+473</f>
        <v>943</v>
      </c>
      <c r="O55" s="22">
        <v>2.2999999999999998</v>
      </c>
      <c r="P55" s="22">
        <v>2.2999999999999998</v>
      </c>
      <c r="Q55" s="22">
        <v>2</v>
      </c>
      <c r="R55" s="22">
        <v>2</v>
      </c>
      <c r="S55" s="31"/>
      <c r="T55" s="22"/>
      <c r="U55" s="22"/>
      <c r="V55" s="22"/>
      <c r="W55" s="22"/>
      <c r="X55" s="9" t="s">
        <v>1294</v>
      </c>
      <c r="Y55" s="9" t="s">
        <v>1191</v>
      </c>
      <c r="Z55" s="9" t="s">
        <v>1189</v>
      </c>
      <c r="AA55" s="9" t="s">
        <v>760</v>
      </c>
      <c r="AB55" s="9" t="s">
        <v>759</v>
      </c>
    </row>
    <row r="56" spans="1:28" s="1" customFormat="1" hidden="1" x14ac:dyDescent="0.3">
      <c r="A56" s="2">
        <v>52</v>
      </c>
      <c r="B56" s="10" t="s">
        <v>43</v>
      </c>
      <c r="C56" s="9" t="s">
        <v>11</v>
      </c>
      <c r="D56" s="9" t="s">
        <v>428</v>
      </c>
      <c r="E56" s="9" t="s">
        <v>429</v>
      </c>
      <c r="F56" s="9" t="s">
        <v>430</v>
      </c>
      <c r="G56" s="9" t="s">
        <v>988</v>
      </c>
      <c r="H56" s="40" t="s">
        <v>1278</v>
      </c>
      <c r="I56" s="30">
        <f t="shared" si="0"/>
        <v>4549</v>
      </c>
      <c r="J56" s="31"/>
      <c r="K56" s="9"/>
      <c r="L56" s="31"/>
      <c r="M56" s="9"/>
      <c r="N56" s="31"/>
      <c r="O56" s="22"/>
      <c r="P56" s="22"/>
      <c r="Q56" s="22"/>
      <c r="R56" s="22"/>
      <c r="S56" s="31">
        <f>2285+1142+1122</f>
        <v>4549</v>
      </c>
      <c r="T56" s="22">
        <v>2.2999999999999998</v>
      </c>
      <c r="U56" s="22">
        <v>4</v>
      </c>
      <c r="V56" s="22">
        <v>2.2999999999999998</v>
      </c>
      <c r="W56" s="22">
        <v>2.8</v>
      </c>
      <c r="X56" s="9"/>
      <c r="Y56" s="9" t="s">
        <v>1183</v>
      </c>
      <c r="Z56" s="9" t="s">
        <v>1198</v>
      </c>
      <c r="AA56" s="9"/>
      <c r="AB56" s="9"/>
    </row>
    <row r="57" spans="1:28" s="1" customFormat="1" hidden="1" x14ac:dyDescent="0.3">
      <c r="A57" s="2">
        <v>53</v>
      </c>
      <c r="B57" s="4" t="s">
        <v>997</v>
      </c>
      <c r="C57" s="9" t="s">
        <v>43</v>
      </c>
      <c r="D57" s="9" t="s">
        <v>439</v>
      </c>
      <c r="E57" s="9" t="s">
        <v>998</v>
      </c>
      <c r="F57" s="9" t="s">
        <v>440</v>
      </c>
      <c r="G57" s="9" t="s">
        <v>999</v>
      </c>
      <c r="H57" s="40">
        <v>0.53</v>
      </c>
      <c r="I57" s="30">
        <f t="shared" si="0"/>
        <v>1010</v>
      </c>
      <c r="J57" s="31"/>
      <c r="K57" s="9"/>
      <c r="L57" s="31"/>
      <c r="M57" s="9"/>
      <c r="N57" s="31"/>
      <c r="O57" s="22"/>
      <c r="P57" s="22"/>
      <c r="Q57" s="22"/>
      <c r="R57" s="22"/>
      <c r="S57" s="31">
        <f>505+505</f>
        <v>1010</v>
      </c>
      <c r="T57" s="22">
        <v>3</v>
      </c>
      <c r="U57" s="22">
        <v>3</v>
      </c>
      <c r="V57" s="22">
        <v>1.8</v>
      </c>
      <c r="W57" s="22">
        <v>1.8</v>
      </c>
      <c r="X57" s="9" t="s">
        <v>1294</v>
      </c>
      <c r="Y57" s="9" t="s">
        <v>760</v>
      </c>
      <c r="Z57" s="9" t="s">
        <v>759</v>
      </c>
      <c r="AA57" s="9"/>
      <c r="AB57" s="9"/>
    </row>
    <row r="58" spans="1:28" s="1" customFormat="1" hidden="1" x14ac:dyDescent="0.3">
      <c r="A58" s="2">
        <v>54</v>
      </c>
      <c r="B58" s="10" t="s">
        <v>42</v>
      </c>
      <c r="C58" s="9" t="s">
        <v>43</v>
      </c>
      <c r="D58" s="9" t="s">
        <v>410</v>
      </c>
      <c r="E58" s="9" t="s">
        <v>412</v>
      </c>
      <c r="F58" s="9" t="s">
        <v>411</v>
      </c>
      <c r="G58" s="9" t="s">
        <v>984</v>
      </c>
      <c r="H58" s="40">
        <v>2.83</v>
      </c>
      <c r="I58" s="30">
        <f t="shared" si="0"/>
        <v>2862</v>
      </c>
      <c r="J58" s="31"/>
      <c r="K58" s="9"/>
      <c r="L58" s="31"/>
      <c r="M58" s="9"/>
      <c r="N58" s="31"/>
      <c r="O58" s="22"/>
      <c r="P58" s="22"/>
      <c r="Q58" s="22"/>
      <c r="R58" s="22"/>
      <c r="S58" s="31">
        <f>1641+1221</f>
        <v>2862</v>
      </c>
      <c r="T58" s="22">
        <v>3</v>
      </c>
      <c r="U58" s="22">
        <v>3.5</v>
      </c>
      <c r="V58" s="22">
        <v>1.2</v>
      </c>
      <c r="W58" s="22">
        <v>2.2999999999999998</v>
      </c>
      <c r="X58" s="9" t="s">
        <v>1294</v>
      </c>
      <c r="Y58" s="9" t="s">
        <v>760</v>
      </c>
      <c r="Z58" s="9" t="s">
        <v>759</v>
      </c>
      <c r="AA58" s="9"/>
      <c r="AB58" s="9"/>
    </row>
    <row r="59" spans="1:28" s="1" customFormat="1" hidden="1" x14ac:dyDescent="0.3">
      <c r="A59" s="2">
        <v>55</v>
      </c>
      <c r="B59" s="10" t="s">
        <v>1315</v>
      </c>
      <c r="C59" s="20"/>
      <c r="D59" s="9" t="s">
        <v>1402</v>
      </c>
      <c r="E59" s="9" t="s">
        <v>1403</v>
      </c>
      <c r="F59" s="9" t="s">
        <v>1404</v>
      </c>
      <c r="G59" s="9" t="s">
        <v>1405</v>
      </c>
      <c r="H59" s="41"/>
      <c r="I59" s="30">
        <f t="shared" si="0"/>
        <v>1785</v>
      </c>
      <c r="J59" s="32"/>
      <c r="K59" s="25"/>
      <c r="L59" s="32"/>
      <c r="M59" s="25"/>
      <c r="N59" s="32">
        <f>418+1153+214</f>
        <v>1785</v>
      </c>
      <c r="O59" s="22">
        <v>1.2</v>
      </c>
      <c r="P59" s="22">
        <v>1.2</v>
      </c>
      <c r="Q59" s="22">
        <v>1.8</v>
      </c>
      <c r="R59" s="22">
        <v>1.8</v>
      </c>
      <c r="S59" s="32"/>
      <c r="T59" s="27"/>
      <c r="U59" s="27"/>
      <c r="V59" s="27"/>
      <c r="W59" s="27"/>
      <c r="X59" s="25"/>
      <c r="Y59" s="9" t="s">
        <v>1324</v>
      </c>
      <c r="Z59" s="9" t="s">
        <v>1319</v>
      </c>
      <c r="AA59" s="25" t="s">
        <v>1320</v>
      </c>
      <c r="AB59" s="25" t="s">
        <v>1319</v>
      </c>
    </row>
    <row r="60" spans="1:28" s="1" customFormat="1" hidden="1" x14ac:dyDescent="0.3">
      <c r="A60" s="2">
        <v>56</v>
      </c>
      <c r="B60" s="4" t="s">
        <v>993</v>
      </c>
      <c r="C60" s="9" t="s">
        <v>795</v>
      </c>
      <c r="D60" s="9" t="s">
        <v>434</v>
      </c>
      <c r="E60" s="9" t="s">
        <v>45</v>
      </c>
      <c r="F60" s="9" t="s">
        <v>435</v>
      </c>
      <c r="G60" s="9" t="s">
        <v>994</v>
      </c>
      <c r="H60" s="40">
        <v>1.1200000000000001</v>
      </c>
      <c r="I60" s="30">
        <f t="shared" si="0"/>
        <v>2193</v>
      </c>
      <c r="J60" s="31"/>
      <c r="K60" s="9"/>
      <c r="L60" s="31"/>
      <c r="M60" s="9"/>
      <c r="N60" s="31"/>
      <c r="O60" s="22"/>
      <c r="P60" s="22"/>
      <c r="Q60" s="22"/>
      <c r="R60" s="22"/>
      <c r="S60" s="31">
        <f>1094+1099</f>
        <v>2193</v>
      </c>
      <c r="T60" s="22">
        <v>3.5</v>
      </c>
      <c r="U60" s="22">
        <v>3.5</v>
      </c>
      <c r="V60" s="22">
        <v>2.2999999999999998</v>
      </c>
      <c r="W60" s="22">
        <v>2.2999999999999998</v>
      </c>
      <c r="X60" s="9" t="s">
        <v>1294</v>
      </c>
      <c r="Y60" s="9" t="s">
        <v>760</v>
      </c>
      <c r="Z60" s="9" t="s">
        <v>759</v>
      </c>
      <c r="AA60" s="9"/>
      <c r="AB60" s="9"/>
    </row>
    <row r="61" spans="1:28" s="1" customFormat="1" hidden="1" x14ac:dyDescent="0.3">
      <c r="A61" s="2">
        <v>57</v>
      </c>
      <c r="B61" s="4" t="s">
        <v>995</v>
      </c>
      <c r="C61" s="9" t="s">
        <v>436</v>
      </c>
      <c r="D61" s="9" t="s">
        <v>437</v>
      </c>
      <c r="E61" s="9" t="s">
        <v>14</v>
      </c>
      <c r="F61" s="9" t="s">
        <v>438</v>
      </c>
      <c r="G61" s="9" t="s">
        <v>996</v>
      </c>
      <c r="H61" s="40">
        <v>0.39</v>
      </c>
      <c r="I61" s="30">
        <f t="shared" si="0"/>
        <v>717</v>
      </c>
      <c r="J61" s="31"/>
      <c r="K61" s="9"/>
      <c r="L61" s="31"/>
      <c r="M61" s="9"/>
      <c r="N61" s="31"/>
      <c r="O61" s="22"/>
      <c r="P61" s="22"/>
      <c r="Q61" s="22"/>
      <c r="R61" s="22"/>
      <c r="S61" s="31">
        <f>351+366</f>
        <v>717</v>
      </c>
      <c r="T61" s="22">
        <v>3.5</v>
      </c>
      <c r="U61" s="22">
        <v>3.5</v>
      </c>
      <c r="V61" s="22">
        <v>2.2999999999999998</v>
      </c>
      <c r="W61" s="22">
        <v>2.2999999999999998</v>
      </c>
      <c r="X61" s="9" t="s">
        <v>1294</v>
      </c>
      <c r="Y61" s="9" t="s">
        <v>1187</v>
      </c>
      <c r="Z61" s="9" t="s">
        <v>759</v>
      </c>
      <c r="AA61" s="9"/>
      <c r="AB61" s="9"/>
    </row>
    <row r="62" spans="1:28" s="1" customFormat="1" hidden="1" x14ac:dyDescent="0.3">
      <c r="A62" s="2">
        <v>58</v>
      </c>
      <c r="B62" s="4" t="s">
        <v>991</v>
      </c>
      <c r="C62" s="9" t="s">
        <v>42</v>
      </c>
      <c r="D62" s="9" t="s">
        <v>432</v>
      </c>
      <c r="E62" s="9" t="s">
        <v>44</v>
      </c>
      <c r="F62" s="9" t="s">
        <v>433</v>
      </c>
      <c r="G62" s="9" t="s">
        <v>992</v>
      </c>
      <c r="H62" s="40">
        <v>0.38</v>
      </c>
      <c r="I62" s="30">
        <f t="shared" si="0"/>
        <v>739</v>
      </c>
      <c r="J62" s="31"/>
      <c r="K62" s="9"/>
      <c r="L62" s="31"/>
      <c r="M62" s="9"/>
      <c r="N62" s="31"/>
      <c r="O62" s="22"/>
      <c r="P62" s="22"/>
      <c r="Q62" s="22"/>
      <c r="R62" s="22"/>
      <c r="S62" s="31">
        <f>369+370</f>
        <v>739</v>
      </c>
      <c r="T62" s="22">
        <v>3.5</v>
      </c>
      <c r="U62" s="22">
        <v>3.5</v>
      </c>
      <c r="V62" s="22">
        <v>2.2999999999999998</v>
      </c>
      <c r="W62" s="22">
        <v>2.2999999999999998</v>
      </c>
      <c r="X62" s="9" t="s">
        <v>1294</v>
      </c>
      <c r="Y62" s="9" t="s">
        <v>760</v>
      </c>
      <c r="Z62" s="9" t="s">
        <v>759</v>
      </c>
      <c r="AA62" s="9"/>
      <c r="AB62" s="9"/>
    </row>
    <row r="63" spans="1:28" s="1" customFormat="1" hidden="1" x14ac:dyDescent="0.3">
      <c r="A63" s="2">
        <v>59</v>
      </c>
      <c r="B63" s="4" t="s">
        <v>989</v>
      </c>
      <c r="C63" s="9" t="s">
        <v>42</v>
      </c>
      <c r="D63" s="9" t="s">
        <v>431</v>
      </c>
      <c r="E63" s="9" t="s">
        <v>44</v>
      </c>
      <c r="F63" s="9" t="s">
        <v>431</v>
      </c>
      <c r="G63" s="9" t="s">
        <v>990</v>
      </c>
      <c r="H63" s="40">
        <v>0.38</v>
      </c>
      <c r="I63" s="30">
        <f t="shared" si="0"/>
        <v>740</v>
      </c>
      <c r="J63" s="31"/>
      <c r="K63" s="9"/>
      <c r="L63" s="31"/>
      <c r="M63" s="9"/>
      <c r="N63" s="31"/>
      <c r="O63" s="22"/>
      <c r="P63" s="22"/>
      <c r="Q63" s="22"/>
      <c r="R63" s="22"/>
      <c r="S63" s="31">
        <f>369+371</f>
        <v>740</v>
      </c>
      <c r="T63" s="22">
        <v>1.7</v>
      </c>
      <c r="U63" s="22">
        <v>3.5</v>
      </c>
      <c r="V63" s="22">
        <v>1.7</v>
      </c>
      <c r="W63" s="22">
        <v>2.2999999999999998</v>
      </c>
      <c r="X63" s="9" t="s">
        <v>1294</v>
      </c>
      <c r="Y63" s="9" t="s">
        <v>760</v>
      </c>
      <c r="Z63" s="9" t="s">
        <v>759</v>
      </c>
      <c r="AA63" s="9"/>
      <c r="AB63" s="9"/>
    </row>
    <row r="64" spans="1:28" s="1" customFormat="1" hidden="1" x14ac:dyDescent="0.3">
      <c r="A64" s="2">
        <v>60</v>
      </c>
      <c r="B64" s="4" t="s">
        <v>803</v>
      </c>
      <c r="C64" s="4" t="s">
        <v>794</v>
      </c>
      <c r="D64" s="12" t="s">
        <v>149</v>
      </c>
      <c r="E64" s="4" t="s">
        <v>192</v>
      </c>
      <c r="F64" s="12" t="s">
        <v>151</v>
      </c>
      <c r="G64" s="4" t="s">
        <v>804</v>
      </c>
      <c r="H64" s="39">
        <v>2.5</v>
      </c>
      <c r="I64" s="30">
        <f t="shared" si="0"/>
        <v>2784</v>
      </c>
      <c r="J64" s="30"/>
      <c r="K64" s="3"/>
      <c r="L64" s="30"/>
      <c r="M64" s="3"/>
      <c r="N64" s="35"/>
      <c r="O64" s="21"/>
      <c r="P64" s="21"/>
      <c r="Q64" s="21"/>
      <c r="R64" s="21"/>
      <c r="S64" s="35">
        <f>1385+1399</f>
        <v>2784</v>
      </c>
      <c r="T64" s="21">
        <v>3</v>
      </c>
      <c r="U64" s="21">
        <v>3.5</v>
      </c>
      <c r="V64" s="21">
        <v>1.8</v>
      </c>
      <c r="W64" s="3">
        <v>2.2999999999999998</v>
      </c>
      <c r="X64" s="3" t="s">
        <v>1284</v>
      </c>
      <c r="Y64" s="3" t="s">
        <v>1204</v>
      </c>
      <c r="Z64" s="3" t="s">
        <v>764</v>
      </c>
      <c r="AA64" s="3"/>
      <c r="AB64" s="3"/>
    </row>
    <row r="65" spans="1:28" s="1" customFormat="1" hidden="1" x14ac:dyDescent="0.3">
      <c r="A65" s="2">
        <v>61</v>
      </c>
      <c r="B65" s="10" t="s">
        <v>65</v>
      </c>
      <c r="C65" s="9" t="s">
        <v>415</v>
      </c>
      <c r="D65" s="12" t="s">
        <v>700</v>
      </c>
      <c r="E65" s="9" t="s">
        <v>421</v>
      </c>
      <c r="F65" s="12" t="s">
        <v>701</v>
      </c>
      <c r="G65" s="9"/>
      <c r="H65" s="40">
        <v>2.86</v>
      </c>
      <c r="I65" s="30">
        <f t="shared" si="0"/>
        <v>270</v>
      </c>
      <c r="J65" s="31"/>
      <c r="K65" s="9"/>
      <c r="L65" s="31"/>
      <c r="M65" s="9"/>
      <c r="N65" s="31"/>
      <c r="O65" s="22"/>
      <c r="P65" s="22"/>
      <c r="Q65" s="22"/>
      <c r="R65" s="22"/>
      <c r="S65" s="31">
        <v>270</v>
      </c>
      <c r="T65" s="22">
        <v>3</v>
      </c>
      <c r="U65" s="22">
        <v>3</v>
      </c>
      <c r="V65" s="22">
        <v>1.8</v>
      </c>
      <c r="W65" s="22">
        <v>1.8</v>
      </c>
      <c r="X65" s="9" t="s">
        <v>1295</v>
      </c>
      <c r="Y65" s="9" t="s">
        <v>760</v>
      </c>
      <c r="Z65" s="9" t="s">
        <v>759</v>
      </c>
      <c r="AA65" s="9"/>
      <c r="AB65" s="9"/>
    </row>
    <row r="66" spans="1:28" s="1" customFormat="1" hidden="1" x14ac:dyDescent="0.3">
      <c r="A66" s="2">
        <v>62</v>
      </c>
      <c r="B66" s="10" t="s">
        <v>1312</v>
      </c>
      <c r="C66" s="9" t="s">
        <v>1313</v>
      </c>
      <c r="D66" s="12" t="s">
        <v>1314</v>
      </c>
      <c r="E66" s="9" t="s">
        <v>1315</v>
      </c>
      <c r="F66" s="12" t="s">
        <v>1316</v>
      </c>
      <c r="G66" s="9" t="s">
        <v>1317</v>
      </c>
      <c r="H66" s="42"/>
      <c r="I66" s="30">
        <f t="shared" si="0"/>
        <v>989</v>
      </c>
      <c r="J66" s="33"/>
      <c r="K66" s="26"/>
      <c r="L66" s="33"/>
      <c r="M66" s="26"/>
      <c r="N66" s="33">
        <v>989</v>
      </c>
      <c r="O66" s="28">
        <v>1.5</v>
      </c>
      <c r="P66" s="28">
        <v>2</v>
      </c>
      <c r="Q66" s="28">
        <v>1</v>
      </c>
      <c r="R66" s="28">
        <v>1.5</v>
      </c>
      <c r="S66" s="33"/>
      <c r="T66" s="28"/>
      <c r="U66" s="28"/>
      <c r="V66" s="28"/>
      <c r="W66" s="28"/>
      <c r="X66" s="26"/>
      <c r="Y66" s="9" t="s">
        <v>1318</v>
      </c>
      <c r="Z66" s="9" t="s">
        <v>1319</v>
      </c>
      <c r="AA66" s="26" t="s">
        <v>1320</v>
      </c>
      <c r="AB66" s="26" t="s">
        <v>1321</v>
      </c>
    </row>
    <row r="67" spans="1:28" s="1" customFormat="1" hidden="1" x14ac:dyDescent="0.3">
      <c r="A67" s="2">
        <v>63</v>
      </c>
      <c r="B67" s="10" t="s">
        <v>65</v>
      </c>
      <c r="C67" s="9" t="s">
        <v>422</v>
      </c>
      <c r="D67" s="9" t="s">
        <v>424</v>
      </c>
      <c r="E67" s="9" t="s">
        <v>423</v>
      </c>
      <c r="F67" s="9" t="s">
        <v>425</v>
      </c>
      <c r="G67" s="9" t="s">
        <v>985</v>
      </c>
      <c r="H67" s="40" t="s">
        <v>1278</v>
      </c>
      <c r="I67" s="30">
        <f t="shared" si="0"/>
        <v>752</v>
      </c>
      <c r="J67" s="31"/>
      <c r="K67" s="9"/>
      <c r="L67" s="31"/>
      <c r="M67" s="9"/>
      <c r="N67" s="31"/>
      <c r="O67" s="22"/>
      <c r="P67" s="22"/>
      <c r="Q67" s="22"/>
      <c r="R67" s="22"/>
      <c r="S67" s="31">
        <f>379+373</f>
        <v>752</v>
      </c>
      <c r="T67" s="22">
        <v>3</v>
      </c>
      <c r="U67" s="22">
        <v>3</v>
      </c>
      <c r="V67" s="22">
        <v>1.8</v>
      </c>
      <c r="W67" s="22">
        <v>1.8</v>
      </c>
      <c r="X67" s="9"/>
      <c r="Y67" s="9" t="s">
        <v>1174</v>
      </c>
      <c r="Z67" s="9" t="s">
        <v>1197</v>
      </c>
      <c r="AA67" s="9"/>
      <c r="AB67" s="9"/>
    </row>
    <row r="68" spans="1:28" s="1" customFormat="1" hidden="1" x14ac:dyDescent="0.3">
      <c r="A68" s="2">
        <v>64</v>
      </c>
      <c r="B68" s="10" t="s">
        <v>294</v>
      </c>
      <c r="C68" s="9" t="s">
        <v>45</v>
      </c>
      <c r="D68" s="9" t="s">
        <v>426</v>
      </c>
      <c r="E68" s="9" t="s">
        <v>65</v>
      </c>
      <c r="F68" s="9" t="s">
        <v>427</v>
      </c>
      <c r="G68" s="9" t="s">
        <v>986</v>
      </c>
      <c r="H68" s="40">
        <v>0.55000000000000004</v>
      </c>
      <c r="I68" s="30">
        <f t="shared" si="0"/>
        <v>1055</v>
      </c>
      <c r="J68" s="31"/>
      <c r="K68" s="9"/>
      <c r="L68" s="31"/>
      <c r="M68" s="9"/>
      <c r="N68" s="31"/>
      <c r="O68" s="22"/>
      <c r="P68" s="22"/>
      <c r="Q68" s="22"/>
      <c r="R68" s="22"/>
      <c r="S68" s="31">
        <f>530+525</f>
        <v>1055</v>
      </c>
      <c r="T68" s="22">
        <v>2.2000000000000002</v>
      </c>
      <c r="U68" s="22">
        <v>2.2000000000000002</v>
      </c>
      <c r="V68" s="22">
        <v>2.2000000000000002</v>
      </c>
      <c r="W68" s="22">
        <v>2.2000000000000002</v>
      </c>
      <c r="X68" s="9" t="s">
        <v>1294</v>
      </c>
      <c r="Y68" s="9" t="s">
        <v>760</v>
      </c>
      <c r="Z68" s="9" t="s">
        <v>759</v>
      </c>
      <c r="AA68" s="9"/>
      <c r="AB68" s="9"/>
    </row>
    <row r="69" spans="1:28" s="1" customFormat="1" hidden="1" x14ac:dyDescent="0.3">
      <c r="A69" s="2">
        <v>65</v>
      </c>
      <c r="B69" s="10" t="s">
        <v>293</v>
      </c>
      <c r="C69" s="9" t="s">
        <v>45</v>
      </c>
      <c r="D69" s="9" t="s">
        <v>419</v>
      </c>
      <c r="E69" s="9" t="s">
        <v>420</v>
      </c>
      <c r="F69" s="9" t="s">
        <v>416</v>
      </c>
      <c r="G69" s="9"/>
      <c r="H69" s="40">
        <v>0.56000000000000005</v>
      </c>
      <c r="I69" s="30">
        <f t="shared" ref="I69:I141" si="1">J69+N69+S69+L69</f>
        <v>1081</v>
      </c>
      <c r="J69" s="31"/>
      <c r="K69" s="9"/>
      <c r="L69" s="31"/>
      <c r="M69" s="9"/>
      <c r="N69" s="31"/>
      <c r="O69" s="22"/>
      <c r="P69" s="22"/>
      <c r="Q69" s="22"/>
      <c r="R69" s="22"/>
      <c r="S69" s="31">
        <f>542+539</f>
        <v>1081</v>
      </c>
      <c r="T69" s="22">
        <v>2.2000000000000002</v>
      </c>
      <c r="U69" s="22">
        <v>2.2000000000000002</v>
      </c>
      <c r="V69" s="22">
        <v>2.2000000000000002</v>
      </c>
      <c r="W69" s="22">
        <v>2.2000000000000002</v>
      </c>
      <c r="X69" s="9" t="s">
        <v>1294</v>
      </c>
      <c r="Y69" s="9" t="s">
        <v>760</v>
      </c>
      <c r="Z69" s="9" t="s">
        <v>759</v>
      </c>
      <c r="AA69" s="9"/>
      <c r="AB69" s="9"/>
    </row>
    <row r="70" spans="1:28" s="1" customFormat="1" hidden="1" x14ac:dyDescent="0.3">
      <c r="A70" s="2">
        <v>66</v>
      </c>
      <c r="B70" s="10" t="s">
        <v>274</v>
      </c>
      <c r="C70" s="9" t="s">
        <v>414</v>
      </c>
      <c r="D70" s="9" t="s">
        <v>413</v>
      </c>
      <c r="E70" s="9" t="s">
        <v>415</v>
      </c>
      <c r="F70" s="9" t="s">
        <v>416</v>
      </c>
      <c r="G70" s="9"/>
      <c r="H70" s="40">
        <v>1.5</v>
      </c>
      <c r="I70" s="30">
        <f t="shared" si="1"/>
        <v>572</v>
      </c>
      <c r="J70" s="31"/>
      <c r="K70" s="9"/>
      <c r="L70" s="31"/>
      <c r="M70" s="9"/>
      <c r="N70" s="31"/>
      <c r="O70" s="22"/>
      <c r="P70" s="22"/>
      <c r="Q70" s="22"/>
      <c r="R70" s="22"/>
      <c r="S70" s="31">
        <v>572</v>
      </c>
      <c r="T70" s="22">
        <v>3</v>
      </c>
      <c r="U70" s="22">
        <v>3</v>
      </c>
      <c r="V70" s="22">
        <v>1.5</v>
      </c>
      <c r="W70" s="22">
        <v>1.5</v>
      </c>
      <c r="X70" s="9" t="s">
        <v>1294</v>
      </c>
      <c r="Y70" s="9" t="s">
        <v>760</v>
      </c>
      <c r="Z70" s="9" t="s">
        <v>759</v>
      </c>
      <c r="AA70" s="9"/>
      <c r="AB70" s="9"/>
    </row>
    <row r="71" spans="1:28" s="1" customFormat="1" hidden="1" x14ac:dyDescent="0.3">
      <c r="A71" s="2">
        <v>67</v>
      </c>
      <c r="B71" s="10" t="s">
        <v>1313</v>
      </c>
      <c r="C71" s="9" t="s">
        <v>1312</v>
      </c>
      <c r="D71" s="12" t="s">
        <v>1314</v>
      </c>
      <c r="E71" s="20"/>
      <c r="F71" s="12" t="s">
        <v>1322</v>
      </c>
      <c r="G71" s="9" t="s">
        <v>1323</v>
      </c>
      <c r="H71" s="41"/>
      <c r="I71" s="30">
        <f t="shared" si="1"/>
        <v>984</v>
      </c>
      <c r="J71" s="32"/>
      <c r="K71" s="25"/>
      <c r="L71" s="32"/>
      <c r="M71" s="25"/>
      <c r="N71" s="32">
        <f>529+455</f>
        <v>984</v>
      </c>
      <c r="O71" s="27">
        <v>2</v>
      </c>
      <c r="P71" s="27">
        <v>2</v>
      </c>
      <c r="Q71" s="27">
        <v>1</v>
      </c>
      <c r="R71" s="27">
        <v>1</v>
      </c>
      <c r="S71" s="32"/>
      <c r="T71" s="27"/>
      <c r="U71" s="27"/>
      <c r="V71" s="27"/>
      <c r="W71" s="27"/>
      <c r="X71" s="25"/>
      <c r="Y71" s="9" t="s">
        <v>1324</v>
      </c>
      <c r="Z71" s="9" t="s">
        <v>1319</v>
      </c>
      <c r="AA71" s="25" t="s">
        <v>1320</v>
      </c>
      <c r="AB71" s="25" t="s">
        <v>1319</v>
      </c>
    </row>
    <row r="72" spans="1:28" s="1" customFormat="1" hidden="1" x14ac:dyDescent="0.3">
      <c r="A72" s="2">
        <v>68</v>
      </c>
      <c r="B72" s="10" t="s">
        <v>1325</v>
      </c>
      <c r="C72" s="9" t="s">
        <v>1374</v>
      </c>
      <c r="D72" s="12" t="s">
        <v>1373</v>
      </c>
      <c r="E72" s="9" t="s">
        <v>1375</v>
      </c>
      <c r="F72" s="12" t="s">
        <v>1376</v>
      </c>
      <c r="G72" s="9" t="s">
        <v>1377</v>
      </c>
      <c r="H72" s="39">
        <v>0.59</v>
      </c>
      <c r="I72" s="30">
        <f t="shared" ref="I72:I78" si="2">J72+N72+S72+L72</f>
        <v>906</v>
      </c>
      <c r="J72" s="32"/>
      <c r="K72" s="25"/>
      <c r="L72" s="32"/>
      <c r="M72" s="25"/>
      <c r="N72" s="32">
        <f>452+454</f>
        <v>906</v>
      </c>
      <c r="O72" s="27">
        <v>2</v>
      </c>
      <c r="P72" s="27">
        <v>2</v>
      </c>
      <c r="Q72" s="27">
        <v>1</v>
      </c>
      <c r="R72" s="27">
        <v>1</v>
      </c>
      <c r="S72" s="32"/>
      <c r="T72" s="27"/>
      <c r="U72" s="27"/>
      <c r="V72" s="27"/>
      <c r="W72" s="27"/>
      <c r="X72" s="25" t="s">
        <v>1407</v>
      </c>
      <c r="Y72" s="9" t="s">
        <v>1324</v>
      </c>
      <c r="Z72" s="9" t="s">
        <v>1319</v>
      </c>
      <c r="AA72" s="25" t="s">
        <v>1320</v>
      </c>
      <c r="AB72" s="25" t="s">
        <v>1319</v>
      </c>
    </row>
    <row r="73" spans="1:28" s="1" customFormat="1" hidden="1" x14ac:dyDescent="0.3">
      <c r="A73" s="2">
        <v>69</v>
      </c>
      <c r="B73" s="10" t="s">
        <v>1326</v>
      </c>
      <c r="C73" s="9" t="s">
        <v>1379</v>
      </c>
      <c r="D73" s="12" t="s">
        <v>1378</v>
      </c>
      <c r="E73" s="9" t="s">
        <v>1380</v>
      </c>
      <c r="F73" s="12" t="s">
        <v>1381</v>
      </c>
      <c r="G73" s="9" t="s">
        <v>1382</v>
      </c>
      <c r="H73" s="39">
        <v>0.31</v>
      </c>
      <c r="I73" s="30">
        <f t="shared" si="2"/>
        <v>642</v>
      </c>
      <c r="J73" s="32"/>
      <c r="K73" s="25"/>
      <c r="L73" s="32"/>
      <c r="M73" s="25"/>
      <c r="N73" s="32">
        <f>341+301</f>
        <v>642</v>
      </c>
      <c r="O73" s="27">
        <v>2</v>
      </c>
      <c r="P73" s="27">
        <v>2</v>
      </c>
      <c r="Q73" s="27">
        <v>1</v>
      </c>
      <c r="R73" s="27">
        <v>1</v>
      </c>
      <c r="S73" s="32"/>
      <c r="T73" s="27"/>
      <c r="U73" s="27"/>
      <c r="V73" s="27"/>
      <c r="W73" s="27"/>
      <c r="X73" s="25" t="s">
        <v>1407</v>
      </c>
      <c r="Y73" s="9" t="s">
        <v>1324</v>
      </c>
      <c r="Z73" s="9" t="s">
        <v>1319</v>
      </c>
      <c r="AA73" s="25" t="s">
        <v>1320</v>
      </c>
      <c r="AB73" s="25" t="s">
        <v>1319</v>
      </c>
    </row>
    <row r="74" spans="1:28" s="1" customFormat="1" hidden="1" x14ac:dyDescent="0.3">
      <c r="A74" s="2">
        <v>70</v>
      </c>
      <c r="B74" s="10" t="s">
        <v>1327</v>
      </c>
      <c r="C74" s="9" t="s">
        <v>1380</v>
      </c>
      <c r="D74" s="12" t="s">
        <v>1383</v>
      </c>
      <c r="E74" s="9" t="s">
        <v>1375</v>
      </c>
      <c r="F74" s="12" t="s">
        <v>1384</v>
      </c>
      <c r="G74" s="9" t="s">
        <v>1385</v>
      </c>
      <c r="H74" s="39">
        <v>0.3</v>
      </c>
      <c r="I74" s="30">
        <f t="shared" si="2"/>
        <v>582</v>
      </c>
      <c r="J74" s="32"/>
      <c r="K74" s="25"/>
      <c r="L74" s="32"/>
      <c r="M74" s="25"/>
      <c r="N74" s="32">
        <f>291+291</f>
        <v>582</v>
      </c>
      <c r="O74" s="27">
        <v>2</v>
      </c>
      <c r="P74" s="27">
        <v>2</v>
      </c>
      <c r="Q74" s="27">
        <v>1</v>
      </c>
      <c r="R74" s="27">
        <v>1</v>
      </c>
      <c r="S74" s="32"/>
      <c r="T74" s="27"/>
      <c r="U74" s="27"/>
      <c r="V74" s="27"/>
      <c r="W74" s="27"/>
      <c r="X74" s="25" t="s">
        <v>1407</v>
      </c>
      <c r="Y74" s="9" t="s">
        <v>1324</v>
      </c>
      <c r="Z74" s="9" t="s">
        <v>1319</v>
      </c>
      <c r="AA74" s="25" t="s">
        <v>1320</v>
      </c>
      <c r="AB74" s="25" t="s">
        <v>1319</v>
      </c>
    </row>
    <row r="75" spans="1:28" s="1" customFormat="1" hidden="1" x14ac:dyDescent="0.3">
      <c r="A75" s="2">
        <v>71</v>
      </c>
      <c r="B75" s="10" t="s">
        <v>1328</v>
      </c>
      <c r="C75" s="9" t="s">
        <v>1386</v>
      </c>
      <c r="D75" s="12" t="s">
        <v>1387</v>
      </c>
      <c r="E75" s="12" t="s">
        <v>1389</v>
      </c>
      <c r="F75" s="9" t="s">
        <v>1388</v>
      </c>
      <c r="G75" s="9" t="s">
        <v>1390</v>
      </c>
      <c r="H75" s="39">
        <v>0.28999999999999998</v>
      </c>
      <c r="I75" s="30">
        <f t="shared" si="2"/>
        <v>567</v>
      </c>
      <c r="J75" s="32"/>
      <c r="K75" s="25"/>
      <c r="L75" s="32"/>
      <c r="M75" s="25"/>
      <c r="N75" s="32">
        <f>283+284</f>
        <v>567</v>
      </c>
      <c r="O75" s="27">
        <v>2</v>
      </c>
      <c r="P75" s="27">
        <v>2</v>
      </c>
      <c r="Q75" s="27">
        <v>1</v>
      </c>
      <c r="R75" s="27">
        <v>1</v>
      </c>
      <c r="S75" s="32"/>
      <c r="T75" s="27"/>
      <c r="U75" s="27"/>
      <c r="V75" s="27"/>
      <c r="W75" s="27"/>
      <c r="X75" s="25" t="s">
        <v>1407</v>
      </c>
      <c r="Y75" s="9" t="s">
        <v>1324</v>
      </c>
      <c r="Z75" s="9" t="s">
        <v>1319</v>
      </c>
      <c r="AA75" s="25" t="s">
        <v>1320</v>
      </c>
      <c r="AB75" s="25" t="s">
        <v>1319</v>
      </c>
    </row>
    <row r="76" spans="1:28" s="1" customFormat="1" hidden="1" x14ac:dyDescent="0.3">
      <c r="A76" s="2">
        <v>72</v>
      </c>
      <c r="B76" s="10" t="s">
        <v>1329</v>
      </c>
      <c r="C76" s="9" t="s">
        <v>1389</v>
      </c>
      <c r="D76" s="12" t="s">
        <v>1391</v>
      </c>
      <c r="E76" s="9" t="s">
        <v>1392</v>
      </c>
      <c r="F76" s="12" t="s">
        <v>1393</v>
      </c>
      <c r="G76" s="9" t="s">
        <v>1394</v>
      </c>
      <c r="H76" s="39">
        <v>0.12</v>
      </c>
      <c r="I76" s="30">
        <f t="shared" si="2"/>
        <v>212</v>
      </c>
      <c r="J76" s="32"/>
      <c r="K76" s="25"/>
      <c r="L76" s="32"/>
      <c r="M76" s="25"/>
      <c r="N76" s="32">
        <f>108+104</f>
        <v>212</v>
      </c>
      <c r="O76" s="27">
        <v>2</v>
      </c>
      <c r="P76" s="27">
        <v>2</v>
      </c>
      <c r="Q76" s="27">
        <v>1</v>
      </c>
      <c r="R76" s="27">
        <v>1</v>
      </c>
      <c r="S76" s="32"/>
      <c r="T76" s="27"/>
      <c r="U76" s="27"/>
      <c r="V76" s="27"/>
      <c r="W76" s="27"/>
      <c r="X76" s="25" t="s">
        <v>1407</v>
      </c>
      <c r="Y76" s="9" t="s">
        <v>1324</v>
      </c>
      <c r="Z76" s="9" t="s">
        <v>1319</v>
      </c>
      <c r="AA76" s="25" t="s">
        <v>1320</v>
      </c>
      <c r="AB76" s="25" t="s">
        <v>1319</v>
      </c>
    </row>
    <row r="77" spans="1:28" s="1" customFormat="1" hidden="1" x14ac:dyDescent="0.3">
      <c r="A77" s="2">
        <v>73</v>
      </c>
      <c r="B77" s="10" t="s">
        <v>1330</v>
      </c>
      <c r="C77" s="9" t="s">
        <v>1379</v>
      </c>
      <c r="D77" s="12" t="s">
        <v>1395</v>
      </c>
      <c r="E77" s="9" t="s">
        <v>1386</v>
      </c>
      <c r="F77" s="12" t="s">
        <v>1396</v>
      </c>
      <c r="G77" s="9" t="s">
        <v>1397</v>
      </c>
      <c r="H77" s="39">
        <v>0.62</v>
      </c>
      <c r="I77" s="30">
        <f t="shared" si="2"/>
        <v>1209</v>
      </c>
      <c r="J77" s="32"/>
      <c r="K77" s="25"/>
      <c r="L77" s="32"/>
      <c r="M77" s="25"/>
      <c r="N77" s="32">
        <f>600+609</f>
        <v>1209</v>
      </c>
      <c r="O77" s="27">
        <v>2</v>
      </c>
      <c r="P77" s="27">
        <v>2</v>
      </c>
      <c r="Q77" s="27">
        <v>1</v>
      </c>
      <c r="R77" s="27">
        <v>1</v>
      </c>
      <c r="S77" s="32"/>
      <c r="T77" s="27"/>
      <c r="U77" s="27"/>
      <c r="V77" s="27"/>
      <c r="W77" s="27"/>
      <c r="X77" s="25" t="s">
        <v>1407</v>
      </c>
      <c r="Y77" s="9" t="s">
        <v>1324</v>
      </c>
      <c r="Z77" s="9" t="s">
        <v>1319</v>
      </c>
      <c r="AA77" s="25" t="s">
        <v>1320</v>
      </c>
      <c r="AB77" s="25" t="s">
        <v>1319</v>
      </c>
    </row>
    <row r="78" spans="1:28" s="1" customFormat="1" hidden="1" x14ac:dyDescent="0.3">
      <c r="A78" s="2">
        <v>74</v>
      </c>
      <c r="B78" s="10" t="s">
        <v>1331</v>
      </c>
      <c r="C78" s="9" t="s">
        <v>1398</v>
      </c>
      <c r="D78" s="12" t="s">
        <v>1399</v>
      </c>
      <c r="E78" s="9" t="s">
        <v>1392</v>
      </c>
      <c r="F78" s="12" t="s">
        <v>1400</v>
      </c>
      <c r="G78" s="9" t="s">
        <v>1401</v>
      </c>
      <c r="H78" s="39">
        <v>1.2</v>
      </c>
      <c r="I78" s="30">
        <f t="shared" si="2"/>
        <v>2343</v>
      </c>
      <c r="J78" s="32"/>
      <c r="K78" s="25"/>
      <c r="L78" s="32"/>
      <c r="M78" s="25"/>
      <c r="N78" s="32">
        <f>1186+1157</f>
        <v>2343</v>
      </c>
      <c r="O78" s="27">
        <v>2</v>
      </c>
      <c r="P78" s="27">
        <v>2</v>
      </c>
      <c r="Q78" s="27">
        <v>1</v>
      </c>
      <c r="R78" s="27">
        <v>1</v>
      </c>
      <c r="S78" s="32"/>
      <c r="T78" s="27"/>
      <c r="U78" s="27"/>
      <c r="V78" s="27"/>
      <c r="W78" s="27"/>
      <c r="X78" s="25" t="s">
        <v>1407</v>
      </c>
      <c r="Y78" s="9" t="s">
        <v>1324</v>
      </c>
      <c r="Z78" s="9" t="s">
        <v>1319</v>
      </c>
      <c r="AA78" s="25" t="s">
        <v>1320</v>
      </c>
      <c r="AB78" s="25" t="s">
        <v>1319</v>
      </c>
    </row>
    <row r="79" spans="1:28" s="1" customFormat="1" hidden="1" x14ac:dyDescent="0.3">
      <c r="A79" s="2">
        <v>75</v>
      </c>
      <c r="B79" s="19" t="s">
        <v>1286</v>
      </c>
      <c r="C79" s="9" t="s">
        <v>274</v>
      </c>
      <c r="D79" s="9" t="s">
        <v>417</v>
      </c>
      <c r="E79" s="9" t="s">
        <v>293</v>
      </c>
      <c r="F79" s="9" t="s">
        <v>418</v>
      </c>
      <c r="G79" s="9"/>
      <c r="H79" s="40">
        <v>0.23</v>
      </c>
      <c r="I79" s="30">
        <f t="shared" si="1"/>
        <v>468</v>
      </c>
      <c r="J79" s="31"/>
      <c r="K79" s="9"/>
      <c r="L79" s="31"/>
      <c r="M79" s="9"/>
      <c r="N79" s="31"/>
      <c r="O79" s="22"/>
      <c r="P79" s="22"/>
      <c r="Q79" s="22"/>
      <c r="R79" s="22"/>
      <c r="S79" s="31">
        <f>231+237</f>
        <v>468</v>
      </c>
      <c r="T79" s="22">
        <v>2.2000000000000002</v>
      </c>
      <c r="U79" s="22">
        <v>2.2000000000000002</v>
      </c>
      <c r="V79" s="22">
        <v>2.2000000000000002</v>
      </c>
      <c r="W79" s="22">
        <v>2.2000000000000002</v>
      </c>
      <c r="X79" s="9" t="s">
        <v>1294</v>
      </c>
      <c r="Y79" s="9" t="s">
        <v>760</v>
      </c>
      <c r="Z79" s="9" t="s">
        <v>759</v>
      </c>
      <c r="AA79" s="9"/>
      <c r="AB79" s="9"/>
    </row>
    <row r="80" spans="1:28" s="1" customFormat="1" hidden="1" x14ac:dyDescent="0.3">
      <c r="A80" s="2">
        <v>76</v>
      </c>
      <c r="B80" s="11" t="s">
        <v>446</v>
      </c>
      <c r="C80" s="12" t="s">
        <v>639</v>
      </c>
      <c r="D80" s="9" t="s">
        <v>1332</v>
      </c>
      <c r="E80" s="9" t="s">
        <v>640</v>
      </c>
      <c r="F80" s="9" t="s">
        <v>1333</v>
      </c>
      <c r="G80" s="9" t="s">
        <v>1158</v>
      </c>
      <c r="H80" s="40">
        <v>0.32</v>
      </c>
      <c r="I80" s="30">
        <f t="shared" si="1"/>
        <v>636</v>
      </c>
      <c r="J80" s="31"/>
      <c r="K80" s="9"/>
      <c r="L80" s="31"/>
      <c r="M80" s="9"/>
      <c r="N80" s="31"/>
      <c r="O80" s="22"/>
      <c r="P80" s="22"/>
      <c r="Q80" s="22"/>
      <c r="R80" s="22"/>
      <c r="S80" s="31">
        <f>318+318</f>
        <v>636</v>
      </c>
      <c r="T80" s="22">
        <v>2.2000000000000002</v>
      </c>
      <c r="U80" s="22">
        <v>2.2000000000000002</v>
      </c>
      <c r="V80" s="22">
        <v>2.2000000000000002</v>
      </c>
      <c r="W80" s="22">
        <v>2.2000000000000002</v>
      </c>
      <c r="X80" s="9" t="s">
        <v>1294</v>
      </c>
      <c r="Y80" s="9" t="s">
        <v>760</v>
      </c>
      <c r="Z80" s="9" t="s">
        <v>759</v>
      </c>
      <c r="AA80" s="9"/>
      <c r="AB80" s="9"/>
    </row>
    <row r="81" spans="1:28" s="1" customFormat="1" hidden="1" x14ac:dyDescent="0.3">
      <c r="A81" s="2">
        <v>77</v>
      </c>
      <c r="B81" s="10" t="s">
        <v>273</v>
      </c>
      <c r="C81" s="9" t="s">
        <v>407</v>
      </c>
      <c r="D81" s="9" t="s">
        <v>406</v>
      </c>
      <c r="E81" s="9" t="s">
        <v>409</v>
      </c>
      <c r="F81" s="9" t="s">
        <v>408</v>
      </c>
      <c r="G81" s="9"/>
      <c r="H81" s="40">
        <v>0.52</v>
      </c>
      <c r="I81" s="30">
        <f t="shared" si="1"/>
        <v>997</v>
      </c>
      <c r="J81" s="31"/>
      <c r="K81" s="9"/>
      <c r="L81" s="31"/>
      <c r="M81" s="9"/>
      <c r="N81" s="31"/>
      <c r="O81" s="22"/>
      <c r="P81" s="22"/>
      <c r="Q81" s="22"/>
      <c r="R81" s="22"/>
      <c r="S81" s="31">
        <f>506+491</f>
        <v>997</v>
      </c>
      <c r="T81" s="22">
        <v>2.8</v>
      </c>
      <c r="U81" s="22">
        <v>4</v>
      </c>
      <c r="V81" s="22">
        <v>1.6</v>
      </c>
      <c r="W81" s="22">
        <v>2.8</v>
      </c>
      <c r="X81" s="9" t="s">
        <v>1294</v>
      </c>
      <c r="Y81" s="9" t="s">
        <v>1186</v>
      </c>
      <c r="Z81" s="9" t="s">
        <v>759</v>
      </c>
      <c r="AA81" s="9"/>
      <c r="AB81" s="9"/>
    </row>
    <row r="82" spans="1:28" s="1" customFormat="1" hidden="1" x14ac:dyDescent="0.3">
      <c r="A82" s="2">
        <v>78</v>
      </c>
      <c r="B82" s="4" t="s">
        <v>21</v>
      </c>
      <c r="C82" s="4" t="s">
        <v>903</v>
      </c>
      <c r="D82" s="12" t="s">
        <v>260</v>
      </c>
      <c r="E82" s="4" t="s">
        <v>904</v>
      </c>
      <c r="F82" s="12" t="s">
        <v>261</v>
      </c>
      <c r="G82" s="4" t="s">
        <v>905</v>
      </c>
      <c r="H82" s="39">
        <v>4.5</v>
      </c>
      <c r="I82" s="30">
        <f t="shared" si="1"/>
        <v>4648</v>
      </c>
      <c r="J82" s="30"/>
      <c r="K82" s="3"/>
      <c r="L82" s="30"/>
      <c r="M82" s="3"/>
      <c r="N82" s="35">
        <f>2350+2298</f>
        <v>4648</v>
      </c>
      <c r="O82" s="21">
        <v>2</v>
      </c>
      <c r="P82" s="21">
        <v>2.5</v>
      </c>
      <c r="Q82" s="21">
        <v>1.2</v>
      </c>
      <c r="R82" s="21">
        <v>2</v>
      </c>
      <c r="S82" s="35"/>
      <c r="T82" s="21"/>
      <c r="U82" s="21"/>
      <c r="V82" s="21"/>
      <c r="W82" s="3"/>
      <c r="X82" s="3" t="s">
        <v>1281</v>
      </c>
      <c r="Y82" s="3" t="s">
        <v>1265</v>
      </c>
      <c r="Z82" s="3" t="s">
        <v>837</v>
      </c>
      <c r="AA82" s="3" t="s">
        <v>760</v>
      </c>
      <c r="AB82" s="3" t="s">
        <v>759</v>
      </c>
    </row>
    <row r="83" spans="1:28" s="1" customFormat="1" hidden="1" x14ac:dyDescent="0.3">
      <c r="A83" s="2">
        <v>79</v>
      </c>
      <c r="B83" s="4" t="s">
        <v>21</v>
      </c>
      <c r="C83" s="4" t="s">
        <v>1256</v>
      </c>
      <c r="D83" s="12" t="s">
        <v>1255</v>
      </c>
      <c r="E83" s="4" t="s">
        <v>1258</v>
      </c>
      <c r="F83" s="12" t="s">
        <v>1257</v>
      </c>
      <c r="G83" s="4" t="s">
        <v>904</v>
      </c>
      <c r="H83" s="39" t="s">
        <v>1278</v>
      </c>
      <c r="I83" s="30">
        <f t="shared" si="1"/>
        <v>369</v>
      </c>
      <c r="J83" s="30"/>
      <c r="K83" s="3"/>
      <c r="L83" s="30"/>
      <c r="M83" s="3" t="s">
        <v>745</v>
      </c>
      <c r="N83" s="35"/>
      <c r="O83" s="21"/>
      <c r="P83" s="21"/>
      <c r="Q83" s="21"/>
      <c r="R83" s="21"/>
      <c r="S83" s="35">
        <f>209+160</f>
        <v>369</v>
      </c>
      <c r="T83" s="21">
        <v>4</v>
      </c>
      <c r="U83" s="21">
        <v>4</v>
      </c>
      <c r="V83" s="21">
        <v>2.5</v>
      </c>
      <c r="W83" s="3">
        <v>2.5</v>
      </c>
      <c r="X83" s="3"/>
      <c r="Y83" s="3" t="s">
        <v>1199</v>
      </c>
      <c r="Z83" s="3" t="s">
        <v>763</v>
      </c>
      <c r="AA83" s="3"/>
      <c r="AB83" s="3"/>
    </row>
    <row r="84" spans="1:28" s="1" customFormat="1" hidden="1" x14ac:dyDescent="0.3">
      <c r="A84" s="2">
        <v>80</v>
      </c>
      <c r="B84" s="4" t="s">
        <v>21</v>
      </c>
      <c r="C84" s="4" t="s">
        <v>1260</v>
      </c>
      <c r="D84" s="12" t="s">
        <v>1259</v>
      </c>
      <c r="E84" s="4" t="s">
        <v>778</v>
      </c>
      <c r="F84" s="12" t="s">
        <v>1261</v>
      </c>
      <c r="G84" s="4" t="s">
        <v>906</v>
      </c>
      <c r="H84" s="39" t="s">
        <v>1278</v>
      </c>
      <c r="I84" s="30">
        <f t="shared" si="1"/>
        <v>1418</v>
      </c>
      <c r="J84" s="30"/>
      <c r="K84" s="3"/>
      <c r="L84" s="30"/>
      <c r="M84" s="3"/>
      <c r="N84" s="35">
        <f>747+671</f>
        <v>1418</v>
      </c>
      <c r="O84" s="21">
        <v>2.8</v>
      </c>
      <c r="P84" s="21">
        <v>2.8</v>
      </c>
      <c r="Q84" s="21">
        <v>1.2</v>
      </c>
      <c r="R84" s="21">
        <v>1.2</v>
      </c>
      <c r="S84" s="35"/>
      <c r="T84" s="21"/>
      <c r="U84" s="21"/>
      <c r="V84" s="21"/>
      <c r="W84" s="3"/>
      <c r="X84" s="3"/>
      <c r="Y84" s="3" t="s">
        <v>1266</v>
      </c>
      <c r="Z84" s="3" t="s">
        <v>763</v>
      </c>
      <c r="AA84" s="3" t="s">
        <v>760</v>
      </c>
      <c r="AB84" s="3" t="s">
        <v>763</v>
      </c>
    </row>
    <row r="85" spans="1:28" s="1" customFormat="1" hidden="1" x14ac:dyDescent="0.3">
      <c r="A85" s="2">
        <v>81</v>
      </c>
      <c r="B85" s="4" t="s">
        <v>21</v>
      </c>
      <c r="C85" s="4" t="s">
        <v>778</v>
      </c>
      <c r="D85" s="12" t="s">
        <v>1262</v>
      </c>
      <c r="E85" s="4" t="s">
        <v>881</v>
      </c>
      <c r="F85" s="12" t="s">
        <v>1263</v>
      </c>
      <c r="G85" s="4" t="s">
        <v>1264</v>
      </c>
      <c r="H85" s="39" t="s">
        <v>1278</v>
      </c>
      <c r="I85" s="30">
        <f t="shared" si="1"/>
        <v>1477</v>
      </c>
      <c r="J85" s="30"/>
      <c r="K85" s="3"/>
      <c r="L85" s="30"/>
      <c r="M85" s="3"/>
      <c r="N85" s="35"/>
      <c r="O85" s="21"/>
      <c r="P85" s="21"/>
      <c r="Q85" s="21"/>
      <c r="R85" s="21"/>
      <c r="S85" s="35">
        <f>758+719</f>
        <v>1477</v>
      </c>
      <c r="T85" s="21">
        <v>3</v>
      </c>
      <c r="U85" s="21">
        <v>4</v>
      </c>
      <c r="V85" s="21">
        <v>1.8</v>
      </c>
      <c r="W85" s="3">
        <v>2.8</v>
      </c>
      <c r="X85" s="3"/>
      <c r="Y85" s="3" t="s">
        <v>1267</v>
      </c>
      <c r="Z85" s="3" t="s">
        <v>1209</v>
      </c>
      <c r="AA85" s="3"/>
      <c r="AB85" s="3"/>
    </row>
    <row r="86" spans="1:28" s="1" customFormat="1" hidden="1" x14ac:dyDescent="0.3">
      <c r="A86" s="2">
        <v>82</v>
      </c>
      <c r="B86" s="4" t="s">
        <v>17</v>
      </c>
      <c r="C86" s="4" t="s">
        <v>878</v>
      </c>
      <c r="D86" s="12" t="s">
        <v>239</v>
      </c>
      <c r="E86" s="4" t="s">
        <v>126</v>
      </c>
      <c r="F86" s="12" t="s">
        <v>1170</v>
      </c>
      <c r="G86" s="4" t="s">
        <v>1171</v>
      </c>
      <c r="H86" s="39">
        <v>11.02</v>
      </c>
      <c r="I86" s="30">
        <f t="shared" si="1"/>
        <v>959</v>
      </c>
      <c r="J86" s="30"/>
      <c r="K86" s="3"/>
      <c r="L86" s="30"/>
      <c r="M86" s="3"/>
      <c r="N86" s="35"/>
      <c r="O86" s="21"/>
      <c r="P86" s="21"/>
      <c r="Q86" s="21"/>
      <c r="R86" s="21"/>
      <c r="S86" s="35">
        <v>959</v>
      </c>
      <c r="T86" s="21">
        <v>3</v>
      </c>
      <c r="U86" s="21">
        <v>3</v>
      </c>
      <c r="V86" s="21">
        <v>1.8</v>
      </c>
      <c r="W86" s="3">
        <v>1.8</v>
      </c>
      <c r="X86" s="3" t="s">
        <v>1281</v>
      </c>
      <c r="Y86" s="3" t="s">
        <v>879</v>
      </c>
      <c r="Z86" s="3" t="s">
        <v>764</v>
      </c>
      <c r="AA86" s="3"/>
      <c r="AB86" s="3"/>
    </row>
    <row r="87" spans="1:28" s="1" customFormat="1" hidden="1" x14ac:dyDescent="0.3">
      <c r="A87" s="2">
        <v>83</v>
      </c>
      <c r="B87" s="4" t="s">
        <v>17</v>
      </c>
      <c r="C87" s="4"/>
      <c r="D87" s="12" t="s">
        <v>240</v>
      </c>
      <c r="E87" s="4" t="s">
        <v>140</v>
      </c>
      <c r="F87" s="12" t="s">
        <v>241</v>
      </c>
      <c r="G87" s="4" t="s">
        <v>880</v>
      </c>
      <c r="H87" s="39" t="s">
        <v>1278</v>
      </c>
      <c r="I87" s="30">
        <f t="shared" si="1"/>
        <v>493</v>
      </c>
      <c r="J87" s="30"/>
      <c r="K87" s="3"/>
      <c r="L87" s="30"/>
      <c r="M87" s="3"/>
      <c r="N87" s="36">
        <v>493</v>
      </c>
      <c r="O87" s="21">
        <v>1.2</v>
      </c>
      <c r="P87" s="21">
        <v>1.2</v>
      </c>
      <c r="Q87" s="21">
        <v>1.3</v>
      </c>
      <c r="R87" s="21">
        <v>1.3</v>
      </c>
      <c r="S87" s="35"/>
      <c r="T87" s="21"/>
      <c r="U87" s="21"/>
      <c r="V87" s="21"/>
      <c r="W87" s="21"/>
      <c r="X87" s="3"/>
      <c r="Y87" s="3" t="s">
        <v>1184</v>
      </c>
      <c r="Z87" s="3" t="s">
        <v>759</v>
      </c>
      <c r="AA87" s="3" t="s">
        <v>1179</v>
      </c>
      <c r="AB87" s="3" t="s">
        <v>759</v>
      </c>
    </row>
    <row r="88" spans="1:28" s="1" customFormat="1" hidden="1" x14ac:dyDescent="0.3">
      <c r="A88" s="2">
        <v>84</v>
      </c>
      <c r="B88" s="4" t="s">
        <v>17</v>
      </c>
      <c r="C88" s="4" t="s">
        <v>881</v>
      </c>
      <c r="D88" s="12" t="s">
        <v>882</v>
      </c>
      <c r="E88" s="4" t="s">
        <v>883</v>
      </c>
      <c r="F88" s="12" t="s">
        <v>243</v>
      </c>
      <c r="G88" s="4" t="s">
        <v>884</v>
      </c>
      <c r="H88" s="39" t="s">
        <v>1278</v>
      </c>
      <c r="I88" s="30">
        <f t="shared" si="1"/>
        <v>4997</v>
      </c>
      <c r="J88" s="30"/>
      <c r="K88" s="3"/>
      <c r="L88" s="30"/>
      <c r="M88" s="3"/>
      <c r="N88" s="35"/>
      <c r="O88" s="21"/>
      <c r="P88" s="21"/>
      <c r="Q88" s="21"/>
      <c r="R88" s="21"/>
      <c r="S88" s="35">
        <f>3072+1925</f>
        <v>4997</v>
      </c>
      <c r="T88" s="21">
        <v>3</v>
      </c>
      <c r="U88" s="21">
        <v>4.5</v>
      </c>
      <c r="V88" s="21">
        <v>3</v>
      </c>
      <c r="W88" s="3">
        <v>3</v>
      </c>
      <c r="X88" s="3"/>
      <c r="Y88" s="3" t="s">
        <v>760</v>
      </c>
      <c r="Z88" s="3" t="s">
        <v>759</v>
      </c>
      <c r="AA88" s="3"/>
      <c r="AB88" s="3"/>
    </row>
    <row r="89" spans="1:28" s="1" customFormat="1" hidden="1" x14ac:dyDescent="0.3">
      <c r="A89" s="2">
        <v>85</v>
      </c>
      <c r="B89" s="4" t="s">
        <v>17</v>
      </c>
      <c r="C89" s="4" t="s">
        <v>884</v>
      </c>
      <c r="D89" s="12" t="s">
        <v>244</v>
      </c>
      <c r="E89" s="4" t="s">
        <v>883</v>
      </c>
      <c r="F89" s="12" t="s">
        <v>243</v>
      </c>
      <c r="G89" s="4" t="s">
        <v>885</v>
      </c>
      <c r="H89" s="39" t="s">
        <v>1278</v>
      </c>
      <c r="I89" s="30">
        <f t="shared" si="1"/>
        <v>1120</v>
      </c>
      <c r="J89" s="30"/>
      <c r="K89" s="3"/>
      <c r="L89" s="30"/>
      <c r="M89" s="3"/>
      <c r="N89" s="35">
        <v>1120</v>
      </c>
      <c r="O89" s="21">
        <v>1.5</v>
      </c>
      <c r="P89" s="21">
        <v>1.5</v>
      </c>
      <c r="Q89" s="21">
        <v>1.5</v>
      </c>
      <c r="R89" s="21">
        <v>1.5</v>
      </c>
      <c r="S89" s="35"/>
      <c r="T89" s="21"/>
      <c r="U89" s="21"/>
      <c r="V89" s="21"/>
      <c r="W89" s="3"/>
      <c r="X89" s="3"/>
      <c r="Y89" s="3" t="s">
        <v>1180</v>
      </c>
      <c r="Z89" s="3" t="s">
        <v>763</v>
      </c>
      <c r="AA89" s="3" t="s">
        <v>1184</v>
      </c>
      <c r="AB89" s="3" t="s">
        <v>759</v>
      </c>
    </row>
    <row r="90" spans="1:28" x14ac:dyDescent="0.3">
      <c r="A90" s="50">
        <v>86</v>
      </c>
      <c r="B90" s="57" t="s">
        <v>18</v>
      </c>
      <c r="C90" s="57" t="s">
        <v>886</v>
      </c>
      <c r="D90" s="58" t="s">
        <v>245</v>
      </c>
      <c r="E90" s="57" t="s">
        <v>887</v>
      </c>
      <c r="F90" s="58" t="s">
        <v>246</v>
      </c>
      <c r="G90" s="57" t="s">
        <v>126</v>
      </c>
      <c r="H90" s="59">
        <v>7.92</v>
      </c>
      <c r="I90" s="53">
        <f t="shared" si="1"/>
        <v>3289</v>
      </c>
      <c r="J90" s="53"/>
      <c r="K90" s="54"/>
      <c r="L90" s="53"/>
      <c r="M90" s="54"/>
      <c r="N90" s="60"/>
      <c r="O90" s="61"/>
      <c r="P90" s="61"/>
      <c r="Q90" s="61"/>
      <c r="R90" s="61"/>
      <c r="S90" s="60">
        <f>225+1526+1538</f>
        <v>3289</v>
      </c>
      <c r="T90" s="61">
        <v>2.5</v>
      </c>
      <c r="U90" s="61">
        <v>3</v>
      </c>
      <c r="V90" s="61">
        <v>2.5</v>
      </c>
      <c r="W90" s="54">
        <v>3</v>
      </c>
      <c r="X90" s="54" t="s">
        <v>1281</v>
      </c>
      <c r="Y90" s="54" t="s">
        <v>760</v>
      </c>
      <c r="Z90" s="54" t="s">
        <v>759</v>
      </c>
      <c r="AA90" s="54"/>
      <c r="AB90" s="54"/>
    </row>
    <row r="91" spans="1:28" x14ac:dyDescent="0.3">
      <c r="A91" s="50">
        <v>87</v>
      </c>
      <c r="B91" s="57" t="s">
        <v>18</v>
      </c>
      <c r="C91" s="57" t="s">
        <v>887</v>
      </c>
      <c r="D91" s="58" t="s">
        <v>247</v>
      </c>
      <c r="E91" s="57" t="s">
        <v>1173</v>
      </c>
      <c r="F91" s="58" t="s">
        <v>1172</v>
      </c>
      <c r="G91" s="57" t="s">
        <v>888</v>
      </c>
      <c r="H91" s="59" t="s">
        <v>1278</v>
      </c>
      <c r="I91" s="53">
        <f t="shared" si="1"/>
        <v>1605</v>
      </c>
      <c r="J91" s="53"/>
      <c r="K91" s="54"/>
      <c r="L91" s="53"/>
      <c r="M91" s="54"/>
      <c r="N91" s="60">
        <f>695+910</f>
        <v>1605</v>
      </c>
      <c r="O91" s="61">
        <v>1.3</v>
      </c>
      <c r="P91" s="61">
        <v>1.3</v>
      </c>
      <c r="Q91" s="61">
        <v>1.2</v>
      </c>
      <c r="R91" s="61">
        <v>1.2</v>
      </c>
      <c r="S91" s="60"/>
      <c r="T91" s="61"/>
      <c r="U91" s="61"/>
      <c r="V91" s="61"/>
      <c r="W91" s="54"/>
      <c r="X91" s="54"/>
      <c r="Y91" s="54" t="s">
        <v>762</v>
      </c>
      <c r="Z91" s="54" t="s">
        <v>763</v>
      </c>
      <c r="AA91" s="54" t="s">
        <v>1179</v>
      </c>
      <c r="AB91" s="54" t="s">
        <v>763</v>
      </c>
    </row>
    <row r="92" spans="1:28" x14ac:dyDescent="0.3">
      <c r="A92" s="50">
        <v>88</v>
      </c>
      <c r="B92" s="57" t="s">
        <v>18</v>
      </c>
      <c r="C92" s="57" t="s">
        <v>889</v>
      </c>
      <c r="D92" s="58" t="s">
        <v>248</v>
      </c>
      <c r="E92" s="57" t="s">
        <v>835</v>
      </c>
      <c r="F92" s="58" t="s">
        <v>249</v>
      </c>
      <c r="G92" s="57" t="s">
        <v>890</v>
      </c>
      <c r="H92" s="59" t="s">
        <v>1278</v>
      </c>
      <c r="I92" s="53">
        <f t="shared" si="1"/>
        <v>3251</v>
      </c>
      <c r="J92" s="53"/>
      <c r="K92" s="54"/>
      <c r="L92" s="53"/>
      <c r="M92" s="54"/>
      <c r="N92" s="60"/>
      <c r="O92" s="61"/>
      <c r="P92" s="61"/>
      <c r="Q92" s="61"/>
      <c r="R92" s="61"/>
      <c r="S92" s="60">
        <f>2063+1188</f>
        <v>3251</v>
      </c>
      <c r="T92" s="61">
        <v>1.5</v>
      </c>
      <c r="U92" s="61">
        <v>3</v>
      </c>
      <c r="V92" s="61">
        <v>1.5</v>
      </c>
      <c r="W92" s="54">
        <v>3</v>
      </c>
      <c r="X92" s="54"/>
      <c r="Y92" s="54" t="s">
        <v>760</v>
      </c>
      <c r="Z92" s="54" t="s">
        <v>759</v>
      </c>
      <c r="AA92" s="54"/>
      <c r="AB92" s="54"/>
    </row>
    <row r="93" spans="1:28" s="1" customFormat="1" hidden="1" x14ac:dyDescent="0.3">
      <c r="A93" s="2">
        <v>89</v>
      </c>
      <c r="B93" s="4" t="s">
        <v>203</v>
      </c>
      <c r="C93" s="4" t="s">
        <v>907</v>
      </c>
      <c r="D93" s="12" t="s">
        <v>263</v>
      </c>
      <c r="E93" s="4" t="s">
        <v>187</v>
      </c>
      <c r="F93" s="12" t="s">
        <v>264</v>
      </c>
      <c r="G93" s="4" t="s">
        <v>908</v>
      </c>
      <c r="H93" s="39">
        <v>3.8</v>
      </c>
      <c r="I93" s="30">
        <f t="shared" si="1"/>
        <v>6076</v>
      </c>
      <c r="J93" s="30"/>
      <c r="K93" s="3"/>
      <c r="L93" s="30"/>
      <c r="M93" s="3"/>
      <c r="N93" s="35"/>
      <c r="O93" s="21"/>
      <c r="P93" s="21"/>
      <c r="Q93" s="21"/>
      <c r="R93" s="21"/>
      <c r="S93" s="35">
        <f>1736+3001+110+862+331+36</f>
        <v>6076</v>
      </c>
      <c r="T93" s="21">
        <v>2.5</v>
      </c>
      <c r="U93" s="21">
        <v>2.5</v>
      </c>
      <c r="V93" s="21">
        <v>2.5</v>
      </c>
      <c r="W93" s="3">
        <v>2.5</v>
      </c>
      <c r="X93" s="3" t="s">
        <v>1280</v>
      </c>
      <c r="Y93" s="3" t="s">
        <v>1177</v>
      </c>
      <c r="Z93" s="3" t="s">
        <v>909</v>
      </c>
      <c r="AA93" s="3"/>
      <c r="AB93" s="3"/>
    </row>
    <row r="94" spans="1:28" s="1" customFormat="1" hidden="1" x14ac:dyDescent="0.3">
      <c r="A94" s="2">
        <v>90</v>
      </c>
      <c r="B94" s="4" t="s">
        <v>203</v>
      </c>
      <c r="C94" s="4" t="s">
        <v>908</v>
      </c>
      <c r="D94" s="12" t="s">
        <v>265</v>
      </c>
      <c r="E94" s="4" t="s">
        <v>910</v>
      </c>
      <c r="F94" s="12" t="s">
        <v>266</v>
      </c>
      <c r="G94" s="4" t="s">
        <v>911</v>
      </c>
      <c r="H94" s="39" t="s">
        <v>1278</v>
      </c>
      <c r="I94" s="30">
        <f t="shared" si="1"/>
        <v>488</v>
      </c>
      <c r="J94" s="30"/>
      <c r="K94" s="3"/>
      <c r="L94" s="30"/>
      <c r="M94" s="3"/>
      <c r="N94" s="35">
        <v>488</v>
      </c>
      <c r="O94" s="21">
        <v>1.5</v>
      </c>
      <c r="P94" s="21">
        <v>1.5</v>
      </c>
      <c r="Q94" s="21">
        <v>2.5</v>
      </c>
      <c r="R94" s="21">
        <v>2.5</v>
      </c>
      <c r="S94" s="35"/>
      <c r="T94" s="21"/>
      <c r="U94" s="21"/>
      <c r="V94" s="21"/>
      <c r="W94" s="3"/>
      <c r="X94" s="3"/>
      <c r="Y94" s="3" t="s">
        <v>1179</v>
      </c>
      <c r="Z94" s="3" t="s">
        <v>763</v>
      </c>
      <c r="AA94" s="3" t="s">
        <v>760</v>
      </c>
      <c r="AB94" s="3" t="s">
        <v>759</v>
      </c>
    </row>
    <row r="95" spans="1:28" s="1" customFormat="1" hidden="1" x14ac:dyDescent="0.3">
      <c r="A95" s="2">
        <v>91</v>
      </c>
      <c r="B95" s="4" t="s">
        <v>203</v>
      </c>
      <c r="C95" s="4" t="s">
        <v>910</v>
      </c>
      <c r="D95" s="12" t="s">
        <v>267</v>
      </c>
      <c r="E95" s="4" t="s">
        <v>683</v>
      </c>
      <c r="F95" s="12" t="s">
        <v>268</v>
      </c>
      <c r="G95" s="4"/>
      <c r="H95" s="39" t="s">
        <v>1278</v>
      </c>
      <c r="I95" s="30">
        <f t="shared" si="1"/>
        <v>180</v>
      </c>
      <c r="J95" s="30"/>
      <c r="K95" s="3"/>
      <c r="L95" s="30"/>
      <c r="M95" s="3"/>
      <c r="N95" s="35">
        <v>180</v>
      </c>
      <c r="O95" s="21">
        <v>1.5</v>
      </c>
      <c r="P95" s="21">
        <v>1.5</v>
      </c>
      <c r="Q95" s="21">
        <v>3</v>
      </c>
      <c r="R95" s="21">
        <v>3</v>
      </c>
      <c r="S95" s="35"/>
      <c r="T95" s="21"/>
      <c r="U95" s="21"/>
      <c r="V95" s="21"/>
      <c r="W95" s="3"/>
      <c r="X95" s="3"/>
      <c r="Y95" s="3" t="s">
        <v>762</v>
      </c>
      <c r="Z95" s="3" t="s">
        <v>763</v>
      </c>
      <c r="AA95" s="3" t="s">
        <v>760</v>
      </c>
      <c r="AB95" s="3" t="s">
        <v>759</v>
      </c>
    </row>
    <row r="96" spans="1:28" s="1" customFormat="1" hidden="1" x14ac:dyDescent="0.3">
      <c r="A96" s="2">
        <v>92</v>
      </c>
      <c r="B96" s="4" t="s">
        <v>203</v>
      </c>
      <c r="C96" s="4"/>
      <c r="D96" s="12" t="s">
        <v>269</v>
      </c>
      <c r="E96" s="4" t="s">
        <v>187</v>
      </c>
      <c r="F96" s="12" t="s">
        <v>264</v>
      </c>
      <c r="G96" s="4" t="s">
        <v>912</v>
      </c>
      <c r="H96" s="39" t="s">
        <v>1278</v>
      </c>
      <c r="I96" s="30">
        <f t="shared" si="1"/>
        <v>632</v>
      </c>
      <c r="J96" s="30"/>
      <c r="K96" s="3"/>
      <c r="L96" s="30"/>
      <c r="M96" s="3"/>
      <c r="N96" s="35">
        <v>632</v>
      </c>
      <c r="O96" s="21">
        <v>1.5</v>
      </c>
      <c r="P96" s="21">
        <v>1.5</v>
      </c>
      <c r="Q96" s="21">
        <v>3</v>
      </c>
      <c r="R96" s="21">
        <v>3</v>
      </c>
      <c r="S96" s="35"/>
      <c r="T96" s="21"/>
      <c r="U96" s="21"/>
      <c r="V96" s="21"/>
      <c r="W96" s="3"/>
      <c r="X96" s="3"/>
      <c r="Y96" s="3" t="s">
        <v>762</v>
      </c>
      <c r="Z96" s="3" t="s">
        <v>763</v>
      </c>
      <c r="AA96" s="3" t="s">
        <v>760</v>
      </c>
      <c r="AB96" s="3" t="s">
        <v>759</v>
      </c>
    </row>
    <row r="97" spans="1:28" s="1" customFormat="1" hidden="1" x14ac:dyDescent="0.3">
      <c r="A97" s="2">
        <v>93</v>
      </c>
      <c r="B97" s="4" t="s">
        <v>1419</v>
      </c>
      <c r="C97" s="4" t="s">
        <v>1420</v>
      </c>
      <c r="D97" s="12" t="s">
        <v>1421</v>
      </c>
      <c r="E97" s="4" t="s">
        <v>1423</v>
      </c>
      <c r="F97" s="12" t="s">
        <v>1422</v>
      </c>
      <c r="G97" s="4" t="s">
        <v>1424</v>
      </c>
      <c r="H97" s="39">
        <v>3.3</v>
      </c>
      <c r="I97" s="30">
        <f t="shared" si="1"/>
        <v>552</v>
      </c>
      <c r="J97" s="30"/>
      <c r="K97" s="3"/>
      <c r="L97" s="30"/>
      <c r="M97" s="3"/>
      <c r="N97" s="35">
        <f>283+269</f>
        <v>552</v>
      </c>
      <c r="O97" s="21">
        <v>1.7</v>
      </c>
      <c r="P97" s="21">
        <v>1.7</v>
      </c>
      <c r="Q97" s="21">
        <v>1.8</v>
      </c>
      <c r="R97" s="21">
        <v>1.8</v>
      </c>
      <c r="S97" s="35"/>
      <c r="T97" s="21"/>
      <c r="U97" s="21"/>
      <c r="V97" s="21"/>
      <c r="W97" s="3"/>
      <c r="X97" s="3" t="s">
        <v>1280</v>
      </c>
      <c r="Y97" s="3" t="s">
        <v>1425</v>
      </c>
      <c r="Z97" s="3" t="s">
        <v>1426</v>
      </c>
      <c r="AA97" s="3" t="s">
        <v>1427</v>
      </c>
      <c r="AB97" s="3" t="s">
        <v>1426</v>
      </c>
    </row>
    <row r="98" spans="1:28" s="1" customFormat="1" hidden="1" x14ac:dyDescent="0.3">
      <c r="A98" s="2">
        <v>94</v>
      </c>
      <c r="B98" s="4" t="s">
        <v>913</v>
      </c>
      <c r="C98" s="4" t="s">
        <v>919</v>
      </c>
      <c r="D98" s="12" t="s">
        <v>277</v>
      </c>
      <c r="E98" s="4" t="s">
        <v>912</v>
      </c>
      <c r="F98" s="12" t="s">
        <v>278</v>
      </c>
      <c r="G98" s="4" t="s">
        <v>920</v>
      </c>
      <c r="H98" s="39"/>
      <c r="I98" s="30">
        <f t="shared" si="1"/>
        <v>336</v>
      </c>
      <c r="J98" s="30"/>
      <c r="K98" s="3"/>
      <c r="L98" s="30"/>
      <c r="M98" s="3"/>
      <c r="N98" s="35">
        <f>211+125</f>
        <v>336</v>
      </c>
      <c r="O98" s="21">
        <v>1.5</v>
      </c>
      <c r="P98" s="21">
        <v>1.5</v>
      </c>
      <c r="Q98" s="21">
        <v>2.5</v>
      </c>
      <c r="R98" s="21">
        <v>5</v>
      </c>
      <c r="S98" s="35"/>
      <c r="T98" s="21"/>
      <c r="U98" s="21"/>
      <c r="V98" s="21"/>
      <c r="W98" s="3"/>
      <c r="Y98" s="3" t="s">
        <v>1190</v>
      </c>
      <c r="Z98" s="3" t="s">
        <v>763</v>
      </c>
      <c r="AA98" s="3" t="s">
        <v>760</v>
      </c>
      <c r="AB98" s="3" t="s">
        <v>837</v>
      </c>
    </row>
    <row r="99" spans="1:28" s="1" customFormat="1" hidden="1" x14ac:dyDescent="0.3">
      <c r="A99" s="2">
        <v>95</v>
      </c>
      <c r="B99" s="4" t="s">
        <v>913</v>
      </c>
      <c r="C99" s="4"/>
      <c r="D99" s="12" t="s">
        <v>1428</v>
      </c>
      <c r="E99" s="4" t="s">
        <v>1429</v>
      </c>
      <c r="F99" s="12" t="s">
        <v>1430</v>
      </c>
      <c r="G99" s="4" t="s">
        <v>1431</v>
      </c>
      <c r="H99" s="39"/>
      <c r="I99" s="30">
        <f t="shared" si="1"/>
        <v>439</v>
      </c>
      <c r="J99" s="30"/>
      <c r="K99" s="3"/>
      <c r="L99" s="30"/>
      <c r="M99" s="3"/>
      <c r="N99" s="35"/>
      <c r="O99" s="21"/>
      <c r="P99" s="21"/>
      <c r="Q99" s="21"/>
      <c r="R99" s="21"/>
      <c r="S99" s="35">
        <f>226+213</f>
        <v>439</v>
      </c>
      <c r="T99" s="21">
        <v>3.5</v>
      </c>
      <c r="U99" s="21">
        <v>3.5</v>
      </c>
      <c r="V99" s="21">
        <v>2.5</v>
      </c>
      <c r="W99" s="3">
        <v>2.5</v>
      </c>
      <c r="X99" s="3"/>
      <c r="Y99" s="3" t="s">
        <v>1425</v>
      </c>
      <c r="Z99" s="3" t="s">
        <v>1426</v>
      </c>
      <c r="AA99" s="3"/>
      <c r="AB99" s="3"/>
    </row>
    <row r="100" spans="1:28" s="1" customFormat="1" hidden="1" x14ac:dyDescent="0.3">
      <c r="A100" s="2">
        <v>96</v>
      </c>
      <c r="B100" s="4" t="s">
        <v>213</v>
      </c>
      <c r="C100" s="4" t="s">
        <v>913</v>
      </c>
      <c r="D100" s="12" t="s">
        <v>279</v>
      </c>
      <c r="E100" s="4" t="s">
        <v>921</v>
      </c>
      <c r="F100" s="12" t="s">
        <v>280</v>
      </c>
      <c r="G100" s="4" t="s">
        <v>922</v>
      </c>
      <c r="H100" s="39">
        <v>1.2</v>
      </c>
      <c r="I100" s="30">
        <f t="shared" si="1"/>
        <v>856</v>
      </c>
      <c r="J100" s="30"/>
      <c r="K100" s="3"/>
      <c r="L100" s="30"/>
      <c r="M100" s="3"/>
      <c r="N100" s="35"/>
      <c r="O100" s="21"/>
      <c r="P100" s="21"/>
      <c r="Q100" s="21"/>
      <c r="R100" s="21"/>
      <c r="S100" s="35">
        <f>427+429</f>
        <v>856</v>
      </c>
      <c r="T100" s="21">
        <v>3</v>
      </c>
      <c r="U100" s="21">
        <v>3</v>
      </c>
      <c r="V100" s="21">
        <v>1.8</v>
      </c>
      <c r="W100" s="3">
        <v>1.8</v>
      </c>
      <c r="X100" s="3" t="s">
        <v>1280</v>
      </c>
      <c r="Y100" s="3" t="s">
        <v>760</v>
      </c>
      <c r="Z100" s="3" t="s">
        <v>759</v>
      </c>
      <c r="AA100" s="3"/>
      <c r="AB100" s="3"/>
    </row>
    <row r="101" spans="1:28" s="1" customFormat="1" hidden="1" x14ac:dyDescent="0.3">
      <c r="A101" s="2">
        <v>97</v>
      </c>
      <c r="B101" s="4" t="s">
        <v>64</v>
      </c>
      <c r="C101" s="4" t="s">
        <v>799</v>
      </c>
      <c r="D101" s="12" t="s">
        <v>281</v>
      </c>
      <c r="E101" s="4" t="s">
        <v>187</v>
      </c>
      <c r="F101" s="12" t="s">
        <v>282</v>
      </c>
      <c r="G101" s="4" t="s">
        <v>923</v>
      </c>
      <c r="H101" s="39">
        <v>1.97</v>
      </c>
      <c r="I101" s="30">
        <f t="shared" si="1"/>
        <v>884</v>
      </c>
      <c r="J101" s="30"/>
      <c r="K101" s="3"/>
      <c r="L101" s="30"/>
      <c r="M101" s="3"/>
      <c r="N101" s="35">
        <f>493+391</f>
        <v>884</v>
      </c>
      <c r="O101" s="21">
        <v>2</v>
      </c>
      <c r="P101" s="21">
        <v>2</v>
      </c>
      <c r="Q101" s="21">
        <v>2.2999999999999998</v>
      </c>
      <c r="R101" s="21">
        <v>2.2999999999999998</v>
      </c>
      <c r="S101" s="35"/>
      <c r="T101" s="21"/>
      <c r="U101" s="21"/>
      <c r="V101" s="21"/>
      <c r="W101" s="3"/>
      <c r="X101" s="3" t="s">
        <v>1280</v>
      </c>
      <c r="Y101" s="3" t="s">
        <v>762</v>
      </c>
      <c r="Z101" s="3" t="s">
        <v>763</v>
      </c>
      <c r="AA101" s="3" t="s">
        <v>760</v>
      </c>
      <c r="AB101" s="3" t="s">
        <v>759</v>
      </c>
    </row>
    <row r="102" spans="1:28" s="1" customFormat="1" hidden="1" x14ac:dyDescent="0.3">
      <c r="A102" s="2">
        <v>98</v>
      </c>
      <c r="B102" s="4" t="s">
        <v>215</v>
      </c>
      <c r="C102" s="4" t="s">
        <v>926</v>
      </c>
      <c r="D102" s="12" t="s">
        <v>927</v>
      </c>
      <c r="E102" s="4" t="s">
        <v>928</v>
      </c>
      <c r="F102" s="12" t="s">
        <v>285</v>
      </c>
      <c r="G102" s="4" t="s">
        <v>929</v>
      </c>
      <c r="H102" s="39">
        <v>0.27</v>
      </c>
      <c r="I102" s="30">
        <f t="shared" si="1"/>
        <v>254</v>
      </c>
      <c r="J102" s="30"/>
      <c r="K102" s="3"/>
      <c r="L102" s="30"/>
      <c r="M102" s="3"/>
      <c r="N102" s="35"/>
      <c r="O102" s="21"/>
      <c r="P102" s="21"/>
      <c r="Q102" s="3"/>
      <c r="R102" s="23"/>
      <c r="S102" s="35">
        <v>254</v>
      </c>
      <c r="T102" s="21">
        <v>2</v>
      </c>
      <c r="U102" s="21">
        <v>3</v>
      </c>
      <c r="V102" s="21">
        <v>1.5</v>
      </c>
      <c r="W102" s="21">
        <v>1.5</v>
      </c>
      <c r="X102" s="3" t="s">
        <v>1280</v>
      </c>
      <c r="Y102" s="3" t="s">
        <v>760</v>
      </c>
      <c r="Z102" s="3" t="s">
        <v>759</v>
      </c>
      <c r="AA102" s="3"/>
      <c r="AB102" s="3"/>
    </row>
    <row r="103" spans="1:28" s="1" customFormat="1" hidden="1" x14ac:dyDescent="0.3">
      <c r="A103" s="2">
        <v>99</v>
      </c>
      <c r="B103" s="4" t="s">
        <v>54</v>
      </c>
      <c r="C103" s="4" t="s">
        <v>196</v>
      </c>
      <c r="D103" s="12" t="s">
        <v>302</v>
      </c>
      <c r="E103" s="4" t="s">
        <v>952</v>
      </c>
      <c r="F103" s="12" t="s">
        <v>301</v>
      </c>
      <c r="G103" s="4" t="s">
        <v>887</v>
      </c>
      <c r="H103" s="39">
        <v>1.66</v>
      </c>
      <c r="I103" s="30">
        <f t="shared" si="1"/>
        <v>1847</v>
      </c>
      <c r="J103" s="30"/>
      <c r="K103" s="3"/>
      <c r="L103" s="30"/>
      <c r="M103" s="3"/>
      <c r="N103" s="35"/>
      <c r="O103" s="21"/>
      <c r="P103" s="21"/>
      <c r="Q103" s="21"/>
      <c r="R103" s="21"/>
      <c r="S103" s="35">
        <f>924+923</f>
        <v>1847</v>
      </c>
      <c r="T103" s="21">
        <v>2.5</v>
      </c>
      <c r="U103" s="21">
        <v>3</v>
      </c>
      <c r="V103" s="21">
        <v>1.5</v>
      </c>
      <c r="W103" s="3">
        <v>1.8</v>
      </c>
      <c r="X103" s="3" t="s">
        <v>1282</v>
      </c>
      <c r="Y103" s="3" t="s">
        <v>1185</v>
      </c>
      <c r="Z103" s="3" t="s">
        <v>764</v>
      </c>
      <c r="AA103" s="3"/>
      <c r="AB103" s="3"/>
    </row>
    <row r="104" spans="1:28" s="1" customFormat="1" hidden="1" x14ac:dyDescent="0.3">
      <c r="A104" s="2">
        <v>100</v>
      </c>
      <c r="B104" s="4" t="s">
        <v>25</v>
      </c>
      <c r="C104" s="4" t="s">
        <v>886</v>
      </c>
      <c r="D104" s="12" t="s">
        <v>298</v>
      </c>
      <c r="E104" s="4" t="s">
        <v>946</v>
      </c>
      <c r="F104" s="12" t="s">
        <v>299</v>
      </c>
      <c r="G104" s="4" t="s">
        <v>947</v>
      </c>
      <c r="H104" s="39">
        <v>2.57</v>
      </c>
      <c r="I104" s="30">
        <f t="shared" si="1"/>
        <v>3129</v>
      </c>
      <c r="J104" s="30"/>
      <c r="K104" s="3"/>
      <c r="L104" s="30"/>
      <c r="M104" s="3"/>
      <c r="N104" s="35"/>
      <c r="O104" s="21"/>
      <c r="P104" s="21"/>
      <c r="Q104" s="21"/>
      <c r="R104" s="21"/>
      <c r="S104" s="35">
        <f>1574+1555</f>
        <v>3129</v>
      </c>
      <c r="T104" s="21">
        <v>5</v>
      </c>
      <c r="U104" s="21">
        <v>5</v>
      </c>
      <c r="V104" s="21">
        <v>3.8</v>
      </c>
      <c r="W104" s="3">
        <v>3.8</v>
      </c>
      <c r="X104" s="3" t="s">
        <v>1281</v>
      </c>
      <c r="Y104" s="3" t="s">
        <v>1199</v>
      </c>
      <c r="Z104" s="3" t="s">
        <v>763</v>
      </c>
      <c r="AA104" s="3"/>
      <c r="AB104" s="3"/>
    </row>
    <row r="105" spans="1:28" x14ac:dyDescent="0.3">
      <c r="A105" s="50">
        <v>101</v>
      </c>
      <c r="B105" s="57" t="s">
        <v>223</v>
      </c>
      <c r="C105" s="57" t="s">
        <v>938</v>
      </c>
      <c r="D105" s="58" t="s">
        <v>303</v>
      </c>
      <c r="E105" s="57" t="s">
        <v>105</v>
      </c>
      <c r="F105" s="58" t="s">
        <v>305</v>
      </c>
      <c r="G105" s="57" t="s">
        <v>955</v>
      </c>
      <c r="H105" s="59">
        <v>0.33</v>
      </c>
      <c r="I105" s="53">
        <f t="shared" si="1"/>
        <v>101</v>
      </c>
      <c r="J105" s="53"/>
      <c r="K105" s="54"/>
      <c r="L105" s="53"/>
      <c r="M105" s="54"/>
      <c r="N105" s="60"/>
      <c r="O105" s="61"/>
      <c r="P105" s="61"/>
      <c r="Q105" s="61"/>
      <c r="R105" s="61"/>
      <c r="S105" s="60">
        <v>101</v>
      </c>
      <c r="T105" s="61">
        <v>4.7</v>
      </c>
      <c r="U105" s="61">
        <v>4.7</v>
      </c>
      <c r="V105" s="61">
        <v>2.5</v>
      </c>
      <c r="W105" s="54">
        <v>2.5</v>
      </c>
      <c r="X105" s="54" t="s">
        <v>1281</v>
      </c>
      <c r="Y105" s="54" t="s">
        <v>1199</v>
      </c>
      <c r="Z105" s="54" t="s">
        <v>763</v>
      </c>
      <c r="AA105" s="54"/>
      <c r="AB105" s="54"/>
    </row>
    <row r="106" spans="1:28" s="1" customFormat="1" hidden="1" x14ac:dyDescent="0.3">
      <c r="A106" s="2">
        <v>102</v>
      </c>
      <c r="B106" s="4" t="s">
        <v>29</v>
      </c>
      <c r="C106" s="4" t="s">
        <v>946</v>
      </c>
      <c r="D106" s="12" t="s">
        <v>304</v>
      </c>
      <c r="E106" s="4" t="s">
        <v>953</v>
      </c>
      <c r="F106" s="12" t="s">
        <v>303</v>
      </c>
      <c r="G106" s="4" t="s">
        <v>954</v>
      </c>
      <c r="H106" s="39">
        <v>2.2200000000000002</v>
      </c>
      <c r="I106" s="30">
        <f t="shared" si="1"/>
        <v>843</v>
      </c>
      <c r="J106" s="30"/>
      <c r="K106" s="3"/>
      <c r="L106" s="30"/>
      <c r="M106" s="3"/>
      <c r="N106" s="35"/>
      <c r="O106" s="21"/>
      <c r="P106" s="21"/>
      <c r="Q106" s="21"/>
      <c r="R106" s="21"/>
      <c r="S106" s="35">
        <f>413+430</f>
        <v>843</v>
      </c>
      <c r="T106" s="21">
        <v>3</v>
      </c>
      <c r="U106" s="21">
        <v>3</v>
      </c>
      <c r="V106" s="21">
        <v>1.8</v>
      </c>
      <c r="W106" s="3">
        <v>1.8</v>
      </c>
      <c r="X106" s="3" t="s">
        <v>1281</v>
      </c>
      <c r="Y106" s="3" t="s">
        <v>879</v>
      </c>
      <c r="Z106" s="3" t="s">
        <v>764</v>
      </c>
      <c r="AA106" s="3"/>
      <c r="AB106" s="3"/>
    </row>
    <row r="107" spans="1:28" s="1" customFormat="1" hidden="1" x14ac:dyDescent="0.3">
      <c r="A107" s="2">
        <v>103</v>
      </c>
      <c r="B107" s="4" t="s">
        <v>30</v>
      </c>
      <c r="C107" s="4" t="s">
        <v>928</v>
      </c>
      <c r="D107" s="12" t="s">
        <v>286</v>
      </c>
      <c r="E107" s="4" t="s">
        <v>930</v>
      </c>
      <c r="F107" s="12" t="s">
        <v>287</v>
      </c>
      <c r="G107" s="4" t="s">
        <v>931</v>
      </c>
      <c r="H107" s="39">
        <v>1.72</v>
      </c>
      <c r="I107" s="30">
        <f t="shared" si="1"/>
        <v>1683</v>
      </c>
      <c r="J107" s="30"/>
      <c r="K107" s="3"/>
      <c r="L107" s="30"/>
      <c r="M107" s="3"/>
      <c r="N107" s="35">
        <f>849+472+362</f>
        <v>1683</v>
      </c>
      <c r="O107" s="21">
        <v>1</v>
      </c>
      <c r="P107" s="21">
        <v>1</v>
      </c>
      <c r="Q107" s="21">
        <v>1.5</v>
      </c>
      <c r="R107" s="21">
        <v>1.5</v>
      </c>
      <c r="S107" s="35"/>
      <c r="T107" s="21"/>
      <c r="U107" s="21"/>
      <c r="V107" s="21"/>
      <c r="W107" s="3"/>
      <c r="X107" s="3" t="s">
        <v>1281</v>
      </c>
      <c r="Y107" s="3" t="s">
        <v>762</v>
      </c>
      <c r="Z107" s="3" t="s">
        <v>1194</v>
      </c>
      <c r="AA107" s="3" t="s">
        <v>760</v>
      </c>
      <c r="AB107" s="3" t="s">
        <v>1194</v>
      </c>
    </row>
    <row r="108" spans="1:28" s="1" customFormat="1" hidden="1" x14ac:dyDescent="0.3">
      <c r="A108" s="2">
        <v>104</v>
      </c>
      <c r="B108" s="4" t="s">
        <v>30</v>
      </c>
      <c r="C108" s="4" t="s">
        <v>930</v>
      </c>
      <c r="D108" s="12" t="s">
        <v>287</v>
      </c>
      <c r="E108" s="4" t="s">
        <v>932</v>
      </c>
      <c r="F108" s="12" t="s">
        <v>288</v>
      </c>
      <c r="G108" s="4" t="s">
        <v>933</v>
      </c>
      <c r="H108" s="39" t="s">
        <v>1278</v>
      </c>
      <c r="I108" s="30">
        <f t="shared" si="1"/>
        <v>1193</v>
      </c>
      <c r="J108" s="30"/>
      <c r="K108" s="3"/>
      <c r="L108" s="30"/>
      <c r="M108" s="3"/>
      <c r="N108" s="35"/>
      <c r="O108" s="21"/>
      <c r="P108" s="21"/>
      <c r="Q108" s="21"/>
      <c r="R108" s="21"/>
      <c r="S108" s="35">
        <f>816+293+41+43</f>
        <v>1193</v>
      </c>
      <c r="T108" s="21">
        <v>4.5</v>
      </c>
      <c r="U108" s="21">
        <v>5</v>
      </c>
      <c r="V108" s="21">
        <v>2.4</v>
      </c>
      <c r="W108" s="3">
        <v>3.3</v>
      </c>
      <c r="X108" s="3"/>
      <c r="Y108" s="3" t="s">
        <v>1199</v>
      </c>
      <c r="Z108" s="3" t="s">
        <v>763</v>
      </c>
      <c r="AA108" s="3"/>
      <c r="AB108" s="3"/>
    </row>
    <row r="109" spans="1:28" s="1" customFormat="1" hidden="1" x14ac:dyDescent="0.3">
      <c r="A109" s="2">
        <v>105</v>
      </c>
      <c r="B109" s="4" t="s">
        <v>30</v>
      </c>
      <c r="C109" s="4" t="s">
        <v>934</v>
      </c>
      <c r="D109" s="12" t="s">
        <v>289</v>
      </c>
      <c r="E109" s="4" t="s">
        <v>933</v>
      </c>
      <c r="F109" s="12" t="s">
        <v>289</v>
      </c>
      <c r="G109" s="4"/>
      <c r="H109" s="39" t="s">
        <v>1278</v>
      </c>
      <c r="I109" s="30">
        <f t="shared" si="1"/>
        <v>26</v>
      </c>
      <c r="J109" s="30"/>
      <c r="K109" s="3"/>
      <c r="L109" s="30"/>
      <c r="M109" s="3"/>
      <c r="N109" s="35">
        <v>26</v>
      </c>
      <c r="O109" s="21">
        <v>1</v>
      </c>
      <c r="P109" s="21">
        <v>1</v>
      </c>
      <c r="Q109" s="21">
        <v>1.5</v>
      </c>
      <c r="R109" s="21">
        <v>1.5</v>
      </c>
      <c r="S109" s="35"/>
      <c r="T109" s="21"/>
      <c r="U109" s="21"/>
      <c r="V109" s="21"/>
      <c r="W109" s="3"/>
      <c r="X109" s="3"/>
      <c r="Y109" s="3" t="s">
        <v>1199</v>
      </c>
      <c r="Z109" s="3" t="s">
        <v>763</v>
      </c>
      <c r="AA109" s="3" t="s">
        <v>760</v>
      </c>
      <c r="AB109" s="3" t="s">
        <v>759</v>
      </c>
    </row>
    <row r="110" spans="1:28" s="1" customFormat="1" hidden="1" x14ac:dyDescent="0.3">
      <c r="A110" s="2">
        <v>106</v>
      </c>
      <c r="B110" s="4" t="s">
        <v>30</v>
      </c>
      <c r="C110" s="4" t="s">
        <v>935</v>
      </c>
      <c r="D110" s="12" t="s">
        <v>290</v>
      </c>
      <c r="E110" s="4"/>
      <c r="F110" s="12" t="s">
        <v>936</v>
      </c>
      <c r="G110" s="4" t="s">
        <v>937</v>
      </c>
      <c r="H110" s="39" t="s">
        <v>1278</v>
      </c>
      <c r="I110" s="30">
        <f t="shared" si="1"/>
        <v>211</v>
      </c>
      <c r="J110" s="30"/>
      <c r="K110" s="3"/>
      <c r="L110" s="30"/>
      <c r="M110" s="3"/>
      <c r="N110" s="35">
        <v>211</v>
      </c>
      <c r="O110" s="21">
        <v>1.2</v>
      </c>
      <c r="P110" s="21">
        <v>1.2</v>
      </c>
      <c r="Q110" s="21">
        <v>1.7</v>
      </c>
      <c r="R110" s="21">
        <v>1.7</v>
      </c>
      <c r="S110" s="35"/>
      <c r="T110" s="21"/>
      <c r="U110" s="21"/>
      <c r="V110" s="21"/>
      <c r="W110" s="3"/>
      <c r="X110" s="3"/>
      <c r="Y110" s="3" t="s">
        <v>1199</v>
      </c>
      <c r="Z110" s="3" t="s">
        <v>763</v>
      </c>
      <c r="AA110" s="3" t="s">
        <v>760</v>
      </c>
      <c r="AB110" s="3" t="s">
        <v>759</v>
      </c>
    </row>
    <row r="111" spans="1:28" s="1" customFormat="1" hidden="1" x14ac:dyDescent="0.3">
      <c r="A111" s="2">
        <v>107</v>
      </c>
      <c r="B111" s="4" t="s">
        <v>30</v>
      </c>
      <c r="C111" s="4" t="s">
        <v>938</v>
      </c>
      <c r="D111" s="12" t="s">
        <v>1444</v>
      </c>
      <c r="E111" s="4" t="s">
        <v>932</v>
      </c>
      <c r="F111" s="12" t="s">
        <v>291</v>
      </c>
      <c r="G111" s="4" t="s">
        <v>939</v>
      </c>
      <c r="H111" s="39" t="s">
        <v>1278</v>
      </c>
      <c r="I111" s="30">
        <f t="shared" si="1"/>
        <v>109</v>
      </c>
      <c r="J111" s="30"/>
      <c r="K111" s="3"/>
      <c r="L111" s="30"/>
      <c r="M111" s="3"/>
      <c r="N111" s="35">
        <v>109</v>
      </c>
      <c r="O111" s="21">
        <v>1.2</v>
      </c>
      <c r="P111" s="21">
        <v>1.2</v>
      </c>
      <c r="Q111" s="21">
        <v>1.7</v>
      </c>
      <c r="R111" s="21">
        <v>1.7</v>
      </c>
      <c r="S111" s="35"/>
      <c r="T111" s="21"/>
      <c r="U111" s="21"/>
      <c r="V111" s="21"/>
      <c r="W111" s="3"/>
      <c r="X111" s="3"/>
      <c r="Y111" s="3" t="s">
        <v>762</v>
      </c>
      <c r="Z111" s="3" t="s">
        <v>763</v>
      </c>
      <c r="AA111" s="3" t="s">
        <v>765</v>
      </c>
      <c r="AB111" s="3" t="s">
        <v>763</v>
      </c>
    </row>
    <row r="112" spans="1:28" s="1" customFormat="1" hidden="1" x14ac:dyDescent="0.3">
      <c r="A112" s="2">
        <v>108</v>
      </c>
      <c r="B112" s="4" t="s">
        <v>53</v>
      </c>
      <c r="C112" s="4" t="s">
        <v>941</v>
      </c>
      <c r="D112" s="12" t="s">
        <v>295</v>
      </c>
      <c r="E112" s="4" t="s">
        <v>684</v>
      </c>
      <c r="F112" s="12" t="s">
        <v>296</v>
      </c>
      <c r="G112" s="4" t="s">
        <v>942</v>
      </c>
      <c r="H112" s="39">
        <v>0.73</v>
      </c>
      <c r="I112" s="30">
        <f t="shared" si="1"/>
        <v>1276</v>
      </c>
      <c r="J112" s="30"/>
      <c r="K112" s="3"/>
      <c r="L112" s="30"/>
      <c r="M112" s="3"/>
      <c r="N112" s="35">
        <f>647+629</f>
        <v>1276</v>
      </c>
      <c r="O112" s="21">
        <v>1</v>
      </c>
      <c r="P112" s="21">
        <v>1</v>
      </c>
      <c r="Q112" s="21">
        <v>1.7</v>
      </c>
      <c r="R112" s="21">
        <v>2</v>
      </c>
      <c r="S112" s="35"/>
      <c r="T112" s="21"/>
      <c r="U112" s="21"/>
      <c r="V112" s="21"/>
      <c r="W112" s="3"/>
      <c r="X112" s="3" t="s">
        <v>1281</v>
      </c>
      <c r="Y112" s="3" t="s">
        <v>762</v>
      </c>
      <c r="Z112" s="3" t="s">
        <v>1194</v>
      </c>
      <c r="AA112" s="3" t="s">
        <v>760</v>
      </c>
      <c r="AB112" s="3" t="s">
        <v>1194</v>
      </c>
    </row>
    <row r="113" spans="1:28" s="1" customFormat="1" hidden="1" x14ac:dyDescent="0.3">
      <c r="A113" s="2">
        <v>109</v>
      </c>
      <c r="B113" s="4" t="s">
        <v>51</v>
      </c>
      <c r="C113" s="7" t="s">
        <v>940</v>
      </c>
      <c r="D113" s="12" t="s">
        <v>292</v>
      </c>
      <c r="E113" s="4" t="s">
        <v>1201</v>
      </c>
      <c r="F113" s="12" t="s">
        <v>1200</v>
      </c>
      <c r="G113" s="4" t="s">
        <v>1202</v>
      </c>
      <c r="H113" s="39">
        <v>2.56</v>
      </c>
      <c r="I113" s="30">
        <f t="shared" si="1"/>
        <v>1021</v>
      </c>
      <c r="J113" s="30"/>
      <c r="K113" s="3"/>
      <c r="L113" s="30"/>
      <c r="M113" s="3"/>
      <c r="N113" s="35"/>
      <c r="O113" s="21"/>
      <c r="P113" s="21"/>
      <c r="Q113" s="21"/>
      <c r="R113" s="21"/>
      <c r="S113" s="35">
        <f>496+525</f>
        <v>1021</v>
      </c>
      <c r="T113" s="21">
        <v>4</v>
      </c>
      <c r="U113" s="21">
        <v>5</v>
      </c>
      <c r="V113" s="21">
        <v>2.5</v>
      </c>
      <c r="W113" s="3">
        <v>3.8</v>
      </c>
      <c r="X113" s="3" t="s">
        <v>1280</v>
      </c>
      <c r="Y113" s="3" t="s">
        <v>765</v>
      </c>
      <c r="Z113" s="3" t="s">
        <v>759</v>
      </c>
      <c r="AA113" s="3"/>
      <c r="AB113" s="3"/>
    </row>
    <row r="114" spans="1:28" x14ac:dyDescent="0.3">
      <c r="A114" s="50">
        <v>110</v>
      </c>
      <c r="B114" s="62" t="s">
        <v>1161</v>
      </c>
      <c r="C114" s="63" t="s">
        <v>647</v>
      </c>
      <c r="D114" s="58" t="s">
        <v>646</v>
      </c>
      <c r="E114" s="63" t="s">
        <v>21</v>
      </c>
      <c r="F114" s="58" t="s">
        <v>648</v>
      </c>
      <c r="G114" s="63" t="s">
        <v>1162</v>
      </c>
      <c r="H114" s="64">
        <v>0.35</v>
      </c>
      <c r="I114" s="53">
        <f t="shared" si="1"/>
        <v>360</v>
      </c>
      <c r="J114" s="65"/>
      <c r="K114" s="63"/>
      <c r="L114" s="65"/>
      <c r="M114" s="63"/>
      <c r="N114" s="65">
        <v>360</v>
      </c>
      <c r="O114" s="66">
        <v>2</v>
      </c>
      <c r="P114" s="66">
        <v>2</v>
      </c>
      <c r="Q114" s="66">
        <v>2</v>
      </c>
      <c r="R114" s="66">
        <v>2</v>
      </c>
      <c r="S114" s="65"/>
      <c r="T114" s="66"/>
      <c r="U114" s="66"/>
      <c r="V114" s="66"/>
      <c r="W114" s="66"/>
      <c r="X114" s="63" t="s">
        <v>1294</v>
      </c>
      <c r="Y114" s="63" t="s">
        <v>1199</v>
      </c>
      <c r="Z114" s="63" t="s">
        <v>763</v>
      </c>
      <c r="AA114" s="63" t="s">
        <v>760</v>
      </c>
      <c r="AB114" s="63" t="s">
        <v>759</v>
      </c>
    </row>
    <row r="115" spans="1:28" s="1" customFormat="1" hidden="1" x14ac:dyDescent="0.3">
      <c r="A115" s="2">
        <v>111</v>
      </c>
      <c r="B115" s="10" t="s">
        <v>31</v>
      </c>
      <c r="C115" s="9" t="s">
        <v>390</v>
      </c>
      <c r="D115" s="9" t="s">
        <v>389</v>
      </c>
      <c r="E115" s="9" t="s">
        <v>22</v>
      </c>
      <c r="F115" s="9" t="s">
        <v>391</v>
      </c>
      <c r="G115" s="9"/>
      <c r="H115" s="40">
        <v>1.82</v>
      </c>
      <c r="I115" s="30">
        <f t="shared" si="1"/>
        <v>339</v>
      </c>
      <c r="J115" s="31"/>
      <c r="K115" s="9"/>
      <c r="L115" s="31"/>
      <c r="M115" s="9"/>
      <c r="N115" s="31">
        <f>255+84</f>
        <v>339</v>
      </c>
      <c r="O115" s="22">
        <v>1.5</v>
      </c>
      <c r="P115" s="22">
        <v>2</v>
      </c>
      <c r="Q115" s="22">
        <v>1.2</v>
      </c>
      <c r="R115" s="22">
        <v>1.5</v>
      </c>
      <c r="S115" s="31"/>
      <c r="T115" s="22"/>
      <c r="U115" s="22"/>
      <c r="V115" s="22"/>
      <c r="W115" s="22"/>
      <c r="X115" s="9" t="s">
        <v>1296</v>
      </c>
      <c r="Y115" s="9" t="s">
        <v>1203</v>
      </c>
      <c r="Z115" s="9" t="s">
        <v>763</v>
      </c>
      <c r="AA115" s="9" t="s">
        <v>760</v>
      </c>
      <c r="AB115" s="9" t="s">
        <v>764</v>
      </c>
    </row>
    <row r="116" spans="1:28" s="1" customFormat="1" hidden="1" x14ac:dyDescent="0.3">
      <c r="A116" s="2">
        <v>112</v>
      </c>
      <c r="B116" s="10" t="s">
        <v>31</v>
      </c>
      <c r="C116" s="9" t="s">
        <v>395</v>
      </c>
      <c r="D116" s="9" t="s">
        <v>392</v>
      </c>
      <c r="E116" s="9" t="s">
        <v>394</v>
      </c>
      <c r="F116" s="9" t="s">
        <v>393</v>
      </c>
      <c r="G116" s="9" t="s">
        <v>980</v>
      </c>
      <c r="H116" s="40" t="s">
        <v>1278</v>
      </c>
      <c r="I116" s="30">
        <f t="shared" si="1"/>
        <v>203</v>
      </c>
      <c r="J116" s="31"/>
      <c r="K116" s="9"/>
      <c r="L116" s="31"/>
      <c r="M116" s="9"/>
      <c r="N116" s="31">
        <f>203</f>
        <v>203</v>
      </c>
      <c r="O116" s="22">
        <v>1.3</v>
      </c>
      <c r="P116" s="22">
        <v>1.3</v>
      </c>
      <c r="Q116" s="22">
        <v>1.7</v>
      </c>
      <c r="R116" s="22">
        <v>1.7</v>
      </c>
      <c r="S116" s="31"/>
      <c r="T116" s="22"/>
      <c r="U116" s="22"/>
      <c r="V116" s="22"/>
      <c r="W116" s="22"/>
      <c r="X116" s="9"/>
      <c r="Y116" s="9" t="s">
        <v>758</v>
      </c>
      <c r="Z116" s="9" t="s">
        <v>759</v>
      </c>
      <c r="AA116" s="9" t="s">
        <v>760</v>
      </c>
      <c r="AB116" s="9" t="s">
        <v>759</v>
      </c>
    </row>
    <row r="117" spans="1:28" s="1" customFormat="1" hidden="1" x14ac:dyDescent="0.3">
      <c r="A117" s="2">
        <v>113</v>
      </c>
      <c r="B117" s="10" t="s">
        <v>31</v>
      </c>
      <c r="C117" s="9" t="s">
        <v>397</v>
      </c>
      <c r="D117" s="9" t="s">
        <v>396</v>
      </c>
      <c r="E117" s="9" t="s">
        <v>12</v>
      </c>
      <c r="F117" s="9" t="s">
        <v>398</v>
      </c>
      <c r="G117" s="9" t="s">
        <v>981</v>
      </c>
      <c r="H117" s="40" t="s">
        <v>1278</v>
      </c>
      <c r="I117" s="30">
        <f t="shared" si="1"/>
        <v>818</v>
      </c>
      <c r="J117" s="31"/>
      <c r="K117" s="9"/>
      <c r="L117" s="31"/>
      <c r="M117" s="9"/>
      <c r="N117" s="31"/>
      <c r="O117" s="22"/>
      <c r="P117" s="22"/>
      <c r="Q117" s="22"/>
      <c r="R117" s="22"/>
      <c r="S117" s="31">
        <f>818</f>
        <v>818</v>
      </c>
      <c r="T117" s="22">
        <v>3</v>
      </c>
      <c r="U117" s="22">
        <v>4</v>
      </c>
      <c r="V117" s="22">
        <v>1.5</v>
      </c>
      <c r="W117" s="22">
        <v>2.2999999999999998</v>
      </c>
      <c r="X117" s="9"/>
      <c r="Y117" s="9" t="s">
        <v>765</v>
      </c>
      <c r="Z117" s="9" t="s">
        <v>763</v>
      </c>
      <c r="AA117" s="9"/>
      <c r="AB117" s="9"/>
    </row>
    <row r="118" spans="1:28" s="1" customFormat="1" hidden="1" x14ac:dyDescent="0.3">
      <c r="A118" s="2">
        <v>114</v>
      </c>
      <c r="B118" s="10" t="s">
        <v>31</v>
      </c>
      <c r="C118" s="9" t="s">
        <v>400</v>
      </c>
      <c r="D118" s="9" t="s">
        <v>399</v>
      </c>
      <c r="E118" s="9" t="s">
        <v>402</v>
      </c>
      <c r="F118" s="9" t="s">
        <v>401</v>
      </c>
      <c r="G118" s="9" t="s">
        <v>982</v>
      </c>
      <c r="H118" s="40" t="s">
        <v>1278</v>
      </c>
      <c r="I118" s="30">
        <f t="shared" si="1"/>
        <v>126</v>
      </c>
      <c r="J118" s="31"/>
      <c r="K118" s="9"/>
      <c r="L118" s="31"/>
      <c r="M118" s="9"/>
      <c r="N118" s="31">
        <f>126</f>
        <v>126</v>
      </c>
      <c r="O118" s="22">
        <v>2</v>
      </c>
      <c r="P118" s="22">
        <v>2</v>
      </c>
      <c r="Q118" s="22">
        <v>7</v>
      </c>
      <c r="R118" s="22">
        <v>7</v>
      </c>
      <c r="S118" s="31"/>
      <c r="T118" s="22"/>
      <c r="U118" s="22"/>
      <c r="V118" s="22"/>
      <c r="W118" s="22"/>
      <c r="X118" s="9"/>
      <c r="Y118" s="9" t="s">
        <v>1199</v>
      </c>
      <c r="Z118" s="9" t="s">
        <v>763</v>
      </c>
      <c r="AA118" s="9" t="s">
        <v>760</v>
      </c>
      <c r="AB118" s="9" t="s">
        <v>759</v>
      </c>
    </row>
    <row r="119" spans="1:28" x14ac:dyDescent="0.3">
      <c r="A119" s="50">
        <v>115</v>
      </c>
      <c r="B119" s="62" t="s">
        <v>38</v>
      </c>
      <c r="C119" s="63" t="s">
        <v>384</v>
      </c>
      <c r="D119" s="63" t="s">
        <v>385</v>
      </c>
      <c r="E119" s="63" t="s">
        <v>39</v>
      </c>
      <c r="F119" s="63" t="s">
        <v>386</v>
      </c>
      <c r="G119" s="63" t="s">
        <v>979</v>
      </c>
      <c r="H119" s="64">
        <v>1.86</v>
      </c>
      <c r="I119" s="53">
        <f t="shared" si="1"/>
        <v>1384</v>
      </c>
      <c r="J119" s="65"/>
      <c r="K119" s="63"/>
      <c r="L119" s="65"/>
      <c r="M119" s="63"/>
      <c r="N119" s="65"/>
      <c r="O119" s="66"/>
      <c r="P119" s="66"/>
      <c r="Q119" s="66"/>
      <c r="R119" s="66"/>
      <c r="S119" s="65">
        <f>792+592</f>
        <v>1384</v>
      </c>
      <c r="T119" s="66">
        <v>3</v>
      </c>
      <c r="U119" s="66">
        <v>3</v>
      </c>
      <c r="V119" s="66">
        <v>1.8</v>
      </c>
      <c r="W119" s="66">
        <v>1.8</v>
      </c>
      <c r="X119" s="63" t="s">
        <v>1282</v>
      </c>
      <c r="Y119" s="63" t="s">
        <v>1199</v>
      </c>
      <c r="Z119" s="63" t="s">
        <v>763</v>
      </c>
      <c r="AA119" s="63"/>
      <c r="AB119" s="63"/>
    </row>
    <row r="120" spans="1:28" s="1" customFormat="1" hidden="1" x14ac:dyDescent="0.3">
      <c r="A120" s="2">
        <v>116</v>
      </c>
      <c r="B120" s="13" t="s">
        <v>38</v>
      </c>
      <c r="C120" s="9" t="s">
        <v>39</v>
      </c>
      <c r="D120" s="9" t="s">
        <v>387</v>
      </c>
      <c r="E120" s="9" t="s">
        <v>1371</v>
      </c>
      <c r="F120" s="9" t="s">
        <v>1370</v>
      </c>
      <c r="G120" s="12" t="s">
        <v>699</v>
      </c>
      <c r="H120" s="40" t="s">
        <v>1278</v>
      </c>
      <c r="I120" s="30">
        <f t="shared" si="1"/>
        <v>1479</v>
      </c>
      <c r="J120" s="31"/>
      <c r="K120" s="9"/>
      <c r="L120" s="31"/>
      <c r="M120" s="9"/>
      <c r="N120" s="31">
        <f>734+745</f>
        <v>1479</v>
      </c>
      <c r="O120" s="22">
        <v>1.2</v>
      </c>
      <c r="P120" s="22">
        <v>1.2</v>
      </c>
      <c r="Q120" s="22">
        <v>1.6</v>
      </c>
      <c r="R120" s="22">
        <v>1.6</v>
      </c>
      <c r="S120" s="31"/>
      <c r="T120" s="22"/>
      <c r="U120" s="22"/>
      <c r="V120" s="22"/>
      <c r="W120" s="22"/>
      <c r="X120" s="9"/>
      <c r="Y120" s="9" t="s">
        <v>758</v>
      </c>
      <c r="Z120" s="9" t="s">
        <v>763</v>
      </c>
      <c r="AA120" s="9" t="s">
        <v>760</v>
      </c>
      <c r="AB120" s="9" t="s">
        <v>759</v>
      </c>
    </row>
    <row r="121" spans="1:28" s="1" customFormat="1" hidden="1" x14ac:dyDescent="0.3">
      <c r="A121" s="2">
        <v>117</v>
      </c>
      <c r="B121" s="10" t="s">
        <v>38</v>
      </c>
      <c r="C121" s="9" t="s">
        <v>1371</v>
      </c>
      <c r="D121" s="9" t="s">
        <v>1370</v>
      </c>
      <c r="E121" s="9" t="s">
        <v>373</v>
      </c>
      <c r="F121" s="9" t="s">
        <v>388</v>
      </c>
      <c r="G121" s="12" t="s">
        <v>1372</v>
      </c>
      <c r="H121" s="40" t="s">
        <v>1278</v>
      </c>
      <c r="I121" s="30">
        <f t="shared" si="1"/>
        <v>507</v>
      </c>
      <c r="J121" s="31"/>
      <c r="K121" s="9"/>
      <c r="L121" s="31"/>
      <c r="M121" s="9"/>
      <c r="N121" s="31"/>
      <c r="O121" s="22"/>
      <c r="P121" s="22"/>
      <c r="Q121" s="22"/>
      <c r="R121" s="22"/>
      <c r="S121" s="31">
        <f>262+245</f>
        <v>507</v>
      </c>
      <c r="T121" s="22">
        <v>3</v>
      </c>
      <c r="U121" s="22">
        <v>3</v>
      </c>
      <c r="V121" s="22">
        <v>1.8</v>
      </c>
      <c r="W121" s="22">
        <v>1.8</v>
      </c>
      <c r="X121" s="9"/>
      <c r="Y121" s="9" t="s">
        <v>1368</v>
      </c>
      <c r="Z121" s="9" t="s">
        <v>1369</v>
      </c>
      <c r="AA121" s="9"/>
      <c r="AB121" s="9"/>
    </row>
    <row r="122" spans="1:28" s="1" customFormat="1" hidden="1" x14ac:dyDescent="0.3">
      <c r="A122" s="2">
        <v>118</v>
      </c>
      <c r="B122" s="4" t="s">
        <v>1063</v>
      </c>
      <c r="C122" s="9" t="s">
        <v>476</v>
      </c>
      <c r="D122" s="12" t="s">
        <v>477</v>
      </c>
      <c r="E122" s="9" t="s">
        <v>422</v>
      </c>
      <c r="F122" s="12" t="s">
        <v>478</v>
      </c>
      <c r="G122" s="9" t="s">
        <v>804</v>
      </c>
      <c r="H122" s="40">
        <v>2.46</v>
      </c>
      <c r="I122" s="30">
        <f t="shared" si="1"/>
        <v>1042</v>
      </c>
      <c r="J122" s="31"/>
      <c r="K122" s="9"/>
      <c r="L122" s="31"/>
      <c r="M122" s="9"/>
      <c r="N122" s="31"/>
      <c r="O122" s="22"/>
      <c r="P122" s="22"/>
      <c r="Q122" s="22"/>
      <c r="R122" s="22"/>
      <c r="S122" s="31">
        <f>522+520</f>
        <v>1042</v>
      </c>
      <c r="T122" s="22">
        <v>3</v>
      </c>
      <c r="U122" s="22">
        <v>3</v>
      </c>
      <c r="V122" s="22">
        <v>1.8</v>
      </c>
      <c r="W122" s="22">
        <v>1.8</v>
      </c>
      <c r="X122" s="9" t="s">
        <v>1294</v>
      </c>
      <c r="Y122" s="9" t="s">
        <v>1199</v>
      </c>
      <c r="Z122" s="9" t="s">
        <v>763</v>
      </c>
      <c r="AA122" s="9"/>
      <c r="AB122" s="9"/>
    </row>
    <row r="123" spans="1:28" s="1" customFormat="1" hidden="1" x14ac:dyDescent="0.3">
      <c r="A123" s="2">
        <v>119</v>
      </c>
      <c r="B123" s="4" t="s">
        <v>1022</v>
      </c>
      <c r="C123" s="9" t="s">
        <v>865</v>
      </c>
      <c r="D123" s="9" t="s">
        <v>1023</v>
      </c>
      <c r="E123" s="9" t="s">
        <v>1024</v>
      </c>
      <c r="F123" s="9" t="s">
        <v>1025</v>
      </c>
      <c r="G123" s="9" t="s">
        <v>1026</v>
      </c>
      <c r="H123" s="40">
        <v>1.33</v>
      </c>
      <c r="I123" s="30">
        <f t="shared" si="1"/>
        <v>2260</v>
      </c>
      <c r="J123" s="31"/>
      <c r="K123" s="9"/>
      <c r="L123" s="31"/>
      <c r="M123" s="9"/>
      <c r="N123" s="31"/>
      <c r="O123" s="22"/>
      <c r="P123" s="22"/>
      <c r="Q123" s="22"/>
      <c r="R123" s="22"/>
      <c r="S123" s="31">
        <f>1120+1140</f>
        <v>2260</v>
      </c>
      <c r="T123" s="22">
        <v>2.2999999999999998</v>
      </c>
      <c r="U123" s="22">
        <v>2.8</v>
      </c>
      <c r="V123" s="22">
        <v>2.2999999999999998</v>
      </c>
      <c r="W123" s="22">
        <v>2.8</v>
      </c>
      <c r="X123" s="9" t="s">
        <v>1297</v>
      </c>
      <c r="Y123" s="9" t="s">
        <v>760</v>
      </c>
      <c r="Z123" s="9" t="s">
        <v>759</v>
      </c>
      <c r="AA123" s="9"/>
      <c r="AB123" s="9"/>
    </row>
    <row r="124" spans="1:28" s="1" customFormat="1" hidden="1" x14ac:dyDescent="0.3">
      <c r="A124" s="2">
        <v>120</v>
      </c>
      <c r="B124" s="18" t="s">
        <v>1027</v>
      </c>
      <c r="C124" s="9" t="s">
        <v>1028</v>
      </c>
      <c r="D124" s="9" t="s">
        <v>1029</v>
      </c>
      <c r="E124" s="9" t="s">
        <v>1014</v>
      </c>
      <c r="F124" s="9" t="s">
        <v>1030</v>
      </c>
      <c r="G124" s="9" t="s">
        <v>1031</v>
      </c>
      <c r="H124" s="40">
        <v>0.28000000000000003</v>
      </c>
      <c r="I124" s="30">
        <f t="shared" si="1"/>
        <v>561</v>
      </c>
      <c r="J124" s="31"/>
      <c r="K124" s="9"/>
      <c r="L124" s="31"/>
      <c r="M124" s="9"/>
      <c r="N124" s="31"/>
      <c r="O124" s="22"/>
      <c r="P124" s="22"/>
      <c r="Q124" s="22"/>
      <c r="R124" s="22"/>
      <c r="S124" s="31">
        <f>277+284</f>
        <v>561</v>
      </c>
      <c r="T124" s="22">
        <v>2</v>
      </c>
      <c r="U124" s="22">
        <v>2</v>
      </c>
      <c r="V124" s="22">
        <v>2</v>
      </c>
      <c r="W124" s="22">
        <v>2</v>
      </c>
      <c r="X124" s="9" t="s">
        <v>1408</v>
      </c>
      <c r="Y124" s="9" t="s">
        <v>760</v>
      </c>
      <c r="Z124" s="9" t="s">
        <v>759</v>
      </c>
      <c r="AA124" s="9"/>
      <c r="AB124" s="9"/>
    </row>
    <row r="125" spans="1:28" s="1" customFormat="1" hidden="1" x14ac:dyDescent="0.3">
      <c r="A125" s="2">
        <v>121</v>
      </c>
      <c r="B125" s="4" t="s">
        <v>1032</v>
      </c>
      <c r="C125" s="9" t="s">
        <v>1033</v>
      </c>
      <c r="D125" s="9" t="s">
        <v>1034</v>
      </c>
      <c r="E125" s="9" t="s">
        <v>1035</v>
      </c>
      <c r="F125" s="9" t="s">
        <v>1036</v>
      </c>
      <c r="G125" s="9" t="s">
        <v>1035</v>
      </c>
      <c r="H125" s="40">
        <v>0.27</v>
      </c>
      <c r="I125" s="30">
        <f t="shared" si="1"/>
        <v>244</v>
      </c>
      <c r="J125" s="31"/>
      <c r="K125" s="9"/>
      <c r="L125" s="31"/>
      <c r="M125" s="9"/>
      <c r="N125" s="31"/>
      <c r="O125" s="22"/>
      <c r="P125" s="22"/>
      <c r="Q125" s="22"/>
      <c r="R125" s="22"/>
      <c r="S125" s="31">
        <v>244</v>
      </c>
      <c r="T125" s="22">
        <v>1.8</v>
      </c>
      <c r="U125" s="22">
        <v>1.8</v>
      </c>
      <c r="V125" s="22">
        <v>1.8</v>
      </c>
      <c r="W125" s="22">
        <v>1.8</v>
      </c>
      <c r="X125" s="9" t="s">
        <v>1297</v>
      </c>
      <c r="Y125" s="9" t="s">
        <v>760</v>
      </c>
      <c r="Z125" s="9" t="s">
        <v>759</v>
      </c>
      <c r="AA125" s="9"/>
      <c r="AB125" s="9"/>
    </row>
    <row r="126" spans="1:28" s="1" customFormat="1" hidden="1" x14ac:dyDescent="0.3">
      <c r="A126" s="2">
        <v>122</v>
      </c>
      <c r="B126" s="18" t="s">
        <v>1008</v>
      </c>
      <c r="C126" s="9" t="s">
        <v>1009</v>
      </c>
      <c r="D126" s="9" t="s">
        <v>1010</v>
      </c>
      <c r="E126" s="9" t="s">
        <v>1011</v>
      </c>
      <c r="F126" s="9" t="s">
        <v>1012</v>
      </c>
      <c r="G126" s="9" t="s">
        <v>1013</v>
      </c>
      <c r="H126" s="40">
        <v>0.78</v>
      </c>
      <c r="I126" s="30">
        <f t="shared" si="1"/>
        <v>1503</v>
      </c>
      <c r="J126" s="31"/>
      <c r="K126" s="9"/>
      <c r="L126" s="31"/>
      <c r="M126" s="9"/>
      <c r="N126" s="31"/>
      <c r="O126" s="22"/>
      <c r="P126" s="22"/>
      <c r="Q126" s="22"/>
      <c r="R126" s="22"/>
      <c r="S126" s="31">
        <f>755+748</f>
        <v>1503</v>
      </c>
      <c r="T126" s="22">
        <v>3</v>
      </c>
      <c r="U126" s="22">
        <v>3</v>
      </c>
      <c r="V126" s="22">
        <v>1.4</v>
      </c>
      <c r="W126" s="22">
        <v>1.4</v>
      </c>
      <c r="X126" s="9" t="s">
        <v>1296</v>
      </c>
      <c r="Y126" s="9" t="s">
        <v>760</v>
      </c>
      <c r="Z126" s="9" t="s">
        <v>759</v>
      </c>
      <c r="AA126" s="9"/>
      <c r="AB126" s="9"/>
    </row>
    <row r="127" spans="1:28" s="1" customFormat="1" hidden="1" x14ac:dyDescent="0.3">
      <c r="A127" s="2">
        <v>123</v>
      </c>
      <c r="B127" s="18" t="s">
        <v>1298</v>
      </c>
      <c r="C127" s="9" t="s">
        <v>449</v>
      </c>
      <c r="D127" s="12" t="s">
        <v>145</v>
      </c>
      <c r="E127" s="9" t="s">
        <v>33</v>
      </c>
      <c r="F127" s="12" t="s">
        <v>450</v>
      </c>
      <c r="G127" s="9" t="s">
        <v>1055</v>
      </c>
      <c r="H127" s="40">
        <v>2.54</v>
      </c>
      <c r="I127" s="30">
        <f t="shared" si="1"/>
        <v>2536</v>
      </c>
      <c r="J127" s="31"/>
      <c r="K127" s="9"/>
      <c r="L127" s="31"/>
      <c r="M127" s="9"/>
      <c r="N127" s="31"/>
      <c r="O127" s="22"/>
      <c r="P127" s="22"/>
      <c r="Q127" s="22"/>
      <c r="R127" s="22"/>
      <c r="S127" s="31">
        <v>2536</v>
      </c>
      <c r="T127" s="22">
        <v>2.6</v>
      </c>
      <c r="U127" s="22">
        <v>2.8</v>
      </c>
      <c r="V127" s="22">
        <v>2.6</v>
      </c>
      <c r="W127" s="22">
        <v>2.8</v>
      </c>
      <c r="X127" s="9" t="s">
        <v>1296</v>
      </c>
      <c r="Y127" s="9" t="s">
        <v>1254</v>
      </c>
      <c r="Z127" s="9" t="s">
        <v>759</v>
      </c>
      <c r="AA127" s="9"/>
      <c r="AB127" s="9"/>
    </row>
    <row r="128" spans="1:28" s="1" customFormat="1" hidden="1" x14ac:dyDescent="0.3">
      <c r="A128" s="2">
        <v>124</v>
      </c>
      <c r="B128" s="18" t="s">
        <v>1056</v>
      </c>
      <c r="C128" s="9" t="s">
        <v>47</v>
      </c>
      <c r="D128" s="12" t="s">
        <v>453</v>
      </c>
      <c r="E128" s="12" t="s">
        <v>455</v>
      </c>
      <c r="F128" s="12" t="s">
        <v>454</v>
      </c>
      <c r="G128" s="9" t="s">
        <v>870</v>
      </c>
      <c r="H128" s="40">
        <v>0.57999999999999996</v>
      </c>
      <c r="I128" s="30">
        <f t="shared" si="1"/>
        <v>578</v>
      </c>
      <c r="J128" s="31"/>
      <c r="K128" s="9"/>
      <c r="L128" s="31"/>
      <c r="M128" s="9"/>
      <c r="N128" s="31"/>
      <c r="O128" s="22"/>
      <c r="P128" s="22"/>
      <c r="Q128" s="22"/>
      <c r="R128" s="22"/>
      <c r="S128" s="31">
        <v>578</v>
      </c>
      <c r="T128" s="22">
        <v>2.4</v>
      </c>
      <c r="U128" s="22">
        <v>2.4</v>
      </c>
      <c r="V128" s="22">
        <v>2.4</v>
      </c>
      <c r="W128" s="22">
        <v>2.4</v>
      </c>
      <c r="X128" s="9" t="s">
        <v>1296</v>
      </c>
      <c r="Y128" s="9" t="s">
        <v>758</v>
      </c>
      <c r="Z128" s="9" t="s">
        <v>759</v>
      </c>
      <c r="AA128" s="9"/>
      <c r="AB128" s="9"/>
    </row>
    <row r="129" spans="1:28" s="1" customFormat="1" hidden="1" x14ac:dyDescent="0.3">
      <c r="A129" s="2">
        <v>125</v>
      </c>
      <c r="B129" s="10" t="s">
        <v>272</v>
      </c>
      <c r="C129" s="9" t="s">
        <v>403</v>
      </c>
      <c r="D129" s="9" t="s">
        <v>404</v>
      </c>
      <c r="E129" s="9" t="s">
        <v>10</v>
      </c>
      <c r="F129" s="9" t="s">
        <v>405</v>
      </c>
      <c r="G129" s="9" t="s">
        <v>983</v>
      </c>
      <c r="H129" s="40">
        <v>0.28000000000000003</v>
      </c>
      <c r="I129" s="30">
        <f t="shared" si="1"/>
        <v>510</v>
      </c>
      <c r="J129" s="31"/>
      <c r="K129" s="9"/>
      <c r="L129" s="31"/>
      <c r="M129" s="9"/>
      <c r="N129" s="31">
        <f>258+252</f>
        <v>510</v>
      </c>
      <c r="O129" s="22">
        <v>1.5</v>
      </c>
      <c r="P129" s="22">
        <v>1.5</v>
      </c>
      <c r="Q129" s="22">
        <v>1.5</v>
      </c>
      <c r="R129" s="22">
        <v>1.5</v>
      </c>
      <c r="S129" s="31"/>
      <c r="T129" s="22"/>
      <c r="U129" s="22"/>
      <c r="V129" s="22"/>
      <c r="W129" s="22"/>
      <c r="X129" s="9" t="s">
        <v>1297</v>
      </c>
      <c r="Y129" s="9" t="s">
        <v>762</v>
      </c>
      <c r="Z129" s="9" t="s">
        <v>763</v>
      </c>
      <c r="AA129" s="9" t="s">
        <v>765</v>
      </c>
      <c r="AB129" s="9" t="s">
        <v>763</v>
      </c>
    </row>
    <row r="130" spans="1:28" s="1" customFormat="1" hidden="1" x14ac:dyDescent="0.3">
      <c r="A130" s="2">
        <v>126</v>
      </c>
      <c r="B130" s="4" t="s">
        <v>1205</v>
      </c>
      <c r="C130" s="9"/>
      <c r="D130" s="12" t="s">
        <v>643</v>
      </c>
      <c r="E130" s="9" t="s">
        <v>644</v>
      </c>
      <c r="F130" s="12" t="s">
        <v>645</v>
      </c>
      <c r="G130" s="9" t="s">
        <v>1160</v>
      </c>
      <c r="H130" s="40">
        <v>0.21</v>
      </c>
      <c r="I130" s="30">
        <f t="shared" si="1"/>
        <v>189</v>
      </c>
      <c r="J130" s="31"/>
      <c r="K130" s="9"/>
      <c r="L130" s="31"/>
      <c r="M130" s="9"/>
      <c r="N130" s="31">
        <v>189</v>
      </c>
      <c r="O130" s="22">
        <v>2</v>
      </c>
      <c r="P130" s="22">
        <v>2</v>
      </c>
      <c r="Q130" s="22">
        <v>1.5</v>
      </c>
      <c r="R130" s="22">
        <v>1.5</v>
      </c>
      <c r="S130" s="31"/>
      <c r="T130" s="22"/>
      <c r="U130" s="22"/>
      <c r="V130" s="22"/>
      <c r="W130" s="22"/>
      <c r="X130" s="9" t="s">
        <v>1297</v>
      </c>
      <c r="Y130" s="9" t="s">
        <v>762</v>
      </c>
      <c r="Z130" s="9" t="s">
        <v>763</v>
      </c>
      <c r="AA130" s="9" t="s">
        <v>765</v>
      </c>
      <c r="AB130" s="9" t="s">
        <v>763</v>
      </c>
    </row>
    <row r="131" spans="1:28" s="1" customFormat="1" hidden="1" x14ac:dyDescent="0.3">
      <c r="A131" s="2">
        <v>127</v>
      </c>
      <c r="B131" s="4" t="s">
        <v>23</v>
      </c>
      <c r="C131" s="4" t="s">
        <v>801</v>
      </c>
      <c r="D131" s="12" t="s">
        <v>695</v>
      </c>
      <c r="E131" s="4" t="s">
        <v>181</v>
      </c>
      <c r="F131" s="12" t="s">
        <v>150</v>
      </c>
      <c r="G131" s="4" t="s">
        <v>802</v>
      </c>
      <c r="H131" s="39">
        <v>1.51</v>
      </c>
      <c r="I131" s="30">
        <f t="shared" si="1"/>
        <v>2855</v>
      </c>
      <c r="J131" s="30"/>
      <c r="K131" s="3"/>
      <c r="L131" s="30"/>
      <c r="M131" s="3"/>
      <c r="N131" s="35"/>
      <c r="O131" s="21"/>
      <c r="P131" s="21"/>
      <c r="Q131" s="21"/>
      <c r="R131" s="21"/>
      <c r="S131" s="35">
        <f>1423+1432</f>
        <v>2855</v>
      </c>
      <c r="T131" s="21">
        <v>3.5</v>
      </c>
      <c r="U131" s="21">
        <v>3.5</v>
      </c>
      <c r="V131" s="21">
        <v>2.2999999999999998</v>
      </c>
      <c r="W131" s="3">
        <v>2.2999999999999998</v>
      </c>
      <c r="X131" s="3" t="s">
        <v>1284</v>
      </c>
      <c r="Y131" s="3" t="s">
        <v>760</v>
      </c>
      <c r="Z131" s="3" t="s">
        <v>759</v>
      </c>
      <c r="AA131" s="3"/>
      <c r="AB131" s="3"/>
    </row>
    <row r="132" spans="1:28" s="1" customFormat="1" hidden="1" x14ac:dyDescent="0.3">
      <c r="A132" s="2">
        <v>128</v>
      </c>
      <c r="B132" s="4" t="s">
        <v>214</v>
      </c>
      <c r="C132" s="4" t="s">
        <v>924</v>
      </c>
      <c r="D132" s="12" t="s">
        <v>283</v>
      </c>
      <c r="E132" s="4" t="s">
        <v>187</v>
      </c>
      <c r="F132" s="12" t="s">
        <v>284</v>
      </c>
      <c r="G132" s="4" t="s">
        <v>925</v>
      </c>
      <c r="H132" s="39">
        <v>0.39</v>
      </c>
      <c r="I132" s="30">
        <f t="shared" si="1"/>
        <v>310</v>
      </c>
      <c r="J132" s="30"/>
      <c r="K132" s="3"/>
      <c r="L132" s="30"/>
      <c r="M132" s="3"/>
      <c r="N132" s="35"/>
      <c r="O132" s="21"/>
      <c r="P132" s="21"/>
      <c r="Q132" s="21"/>
      <c r="R132" s="21"/>
      <c r="S132" s="35">
        <v>310</v>
      </c>
      <c r="T132" s="23">
        <v>3</v>
      </c>
      <c r="U132" s="23">
        <v>3</v>
      </c>
      <c r="V132" s="21">
        <v>3</v>
      </c>
      <c r="W132" s="21">
        <v>3</v>
      </c>
      <c r="X132" s="3" t="s">
        <v>1280</v>
      </c>
      <c r="Y132" s="3" t="s">
        <v>760</v>
      </c>
      <c r="Z132" s="3" t="s">
        <v>759</v>
      </c>
      <c r="AA132" s="3"/>
      <c r="AB132" s="3"/>
    </row>
    <row r="133" spans="1:28" s="1" customFormat="1" hidden="1" x14ac:dyDescent="0.3">
      <c r="A133" s="2">
        <v>129</v>
      </c>
      <c r="B133" s="4" t="s">
        <v>1049</v>
      </c>
      <c r="C133" s="4" t="s">
        <v>1047</v>
      </c>
      <c r="D133" s="12" t="s">
        <v>459</v>
      </c>
      <c r="E133" s="9" t="s">
        <v>46</v>
      </c>
      <c r="F133" s="12" t="s">
        <v>460</v>
      </c>
      <c r="G133" s="9" t="s">
        <v>802</v>
      </c>
      <c r="H133" s="40">
        <v>2.5</v>
      </c>
      <c r="I133" s="30">
        <f t="shared" si="1"/>
        <v>79</v>
      </c>
      <c r="J133" s="31"/>
      <c r="K133" s="9"/>
      <c r="L133" s="31"/>
      <c r="M133" s="9"/>
      <c r="N133" s="31"/>
      <c r="O133" s="22"/>
      <c r="P133" s="22"/>
      <c r="Q133" s="22"/>
      <c r="R133" s="22"/>
      <c r="S133" s="31">
        <f>79</f>
        <v>79</v>
      </c>
      <c r="T133" s="22">
        <v>3</v>
      </c>
      <c r="U133" s="22">
        <v>3</v>
      </c>
      <c r="V133" s="22">
        <v>1.8</v>
      </c>
      <c r="W133" s="22">
        <v>1.8</v>
      </c>
      <c r="X133" s="9" t="s">
        <v>1297</v>
      </c>
      <c r="Y133" s="9" t="s">
        <v>1199</v>
      </c>
      <c r="Z133" s="9" t="s">
        <v>763</v>
      </c>
      <c r="AA133" s="9"/>
      <c r="AB133" s="9"/>
    </row>
    <row r="134" spans="1:28" s="1" customFormat="1" hidden="1" x14ac:dyDescent="0.3">
      <c r="A134" s="2">
        <v>130</v>
      </c>
      <c r="B134" s="4" t="s">
        <v>1049</v>
      </c>
      <c r="C134" s="9" t="s">
        <v>461</v>
      </c>
      <c r="D134" s="12" t="s">
        <v>462</v>
      </c>
      <c r="E134" s="9" t="s">
        <v>463</v>
      </c>
      <c r="F134" s="12" t="s">
        <v>464</v>
      </c>
      <c r="G134" s="9" t="s">
        <v>1059</v>
      </c>
      <c r="H134" s="40" t="s">
        <v>1278</v>
      </c>
      <c r="I134" s="30">
        <f t="shared" si="1"/>
        <v>588</v>
      </c>
      <c r="J134" s="31"/>
      <c r="K134" s="9"/>
      <c r="L134" s="31"/>
      <c r="M134" s="9"/>
      <c r="N134" s="31">
        <f>588</f>
        <v>588</v>
      </c>
      <c r="O134" s="22">
        <v>1.5</v>
      </c>
      <c r="P134" s="22">
        <v>1.5</v>
      </c>
      <c r="Q134" s="22">
        <v>1.5</v>
      </c>
      <c r="R134" s="22">
        <v>1.5</v>
      </c>
      <c r="S134" s="31"/>
      <c r="T134" s="22"/>
      <c r="U134" s="22"/>
      <c r="V134" s="22"/>
      <c r="W134" s="22"/>
      <c r="X134" s="9"/>
      <c r="Y134" s="9" t="s">
        <v>765</v>
      </c>
      <c r="Z134" s="9" t="s">
        <v>763</v>
      </c>
      <c r="AA134" s="9" t="s">
        <v>758</v>
      </c>
      <c r="AB134" s="9" t="s">
        <v>759</v>
      </c>
    </row>
    <row r="135" spans="1:28" s="1" customFormat="1" hidden="1" x14ac:dyDescent="0.3">
      <c r="A135" s="2">
        <v>131</v>
      </c>
      <c r="B135" s="4" t="s">
        <v>1049</v>
      </c>
      <c r="C135" s="9" t="s">
        <v>1060</v>
      </c>
      <c r="D135" s="12" t="s">
        <v>464</v>
      </c>
      <c r="E135" s="9" t="s">
        <v>451</v>
      </c>
      <c r="F135" s="12" t="s">
        <v>465</v>
      </c>
      <c r="G135" s="9" t="s">
        <v>1061</v>
      </c>
      <c r="H135" s="40" t="s">
        <v>1278</v>
      </c>
      <c r="I135" s="30">
        <f t="shared" si="1"/>
        <v>820</v>
      </c>
      <c r="J135" s="31"/>
      <c r="K135" s="9"/>
      <c r="L135" s="31"/>
      <c r="M135" s="9"/>
      <c r="N135" s="31"/>
      <c r="O135" s="22"/>
      <c r="P135" s="22"/>
      <c r="Q135" s="22"/>
      <c r="R135" s="22"/>
      <c r="S135" s="31">
        <f>446+374</f>
        <v>820</v>
      </c>
      <c r="T135" s="22">
        <v>3</v>
      </c>
      <c r="U135" s="22">
        <v>3</v>
      </c>
      <c r="V135" s="22">
        <v>1.8</v>
      </c>
      <c r="W135" s="22">
        <v>1.8</v>
      </c>
      <c r="X135" s="9"/>
      <c r="Y135" s="9" t="s">
        <v>1207</v>
      </c>
      <c r="Z135" s="9" t="s">
        <v>837</v>
      </c>
      <c r="AA135" s="9"/>
      <c r="AB135" s="9"/>
    </row>
    <row r="136" spans="1:28" s="1" customFormat="1" hidden="1" x14ac:dyDescent="0.3">
      <c r="A136" s="2">
        <v>132</v>
      </c>
      <c r="B136" s="4" t="s">
        <v>1049</v>
      </c>
      <c r="C136" s="9" t="s">
        <v>475</v>
      </c>
      <c r="D136" s="12" t="s">
        <v>472</v>
      </c>
      <c r="E136" s="9" t="s">
        <v>473</v>
      </c>
      <c r="F136" s="12" t="s">
        <v>474</v>
      </c>
      <c r="G136" s="9" t="s">
        <v>1062</v>
      </c>
      <c r="H136" s="40" t="s">
        <v>1278</v>
      </c>
      <c r="I136" s="30">
        <f t="shared" si="1"/>
        <v>571</v>
      </c>
      <c r="J136" s="31"/>
      <c r="K136" s="9"/>
      <c r="L136" s="31"/>
      <c r="M136" s="9"/>
      <c r="N136" s="31">
        <f>317+254</f>
        <v>571</v>
      </c>
      <c r="O136" s="22">
        <v>2</v>
      </c>
      <c r="P136" s="22">
        <v>2</v>
      </c>
      <c r="Q136" s="22">
        <v>1.7</v>
      </c>
      <c r="R136" s="22">
        <v>1.7</v>
      </c>
      <c r="S136" s="31"/>
      <c r="T136" s="22"/>
      <c r="U136" s="22"/>
      <c r="V136" s="22"/>
      <c r="W136" s="22"/>
      <c r="X136" s="9"/>
      <c r="Y136" s="9" t="s">
        <v>1199</v>
      </c>
      <c r="Z136" s="9" t="s">
        <v>763</v>
      </c>
      <c r="AA136" s="9" t="s">
        <v>760</v>
      </c>
      <c r="AB136" s="9" t="s">
        <v>759</v>
      </c>
    </row>
    <row r="137" spans="1:28" s="1" customFormat="1" hidden="1" x14ac:dyDescent="0.3">
      <c r="A137" s="2">
        <v>133</v>
      </c>
      <c r="B137" s="4" t="s">
        <v>1037</v>
      </c>
      <c r="C137" s="9" t="s">
        <v>1014</v>
      </c>
      <c r="D137" s="9" t="s">
        <v>1038</v>
      </c>
      <c r="E137" s="9" t="s">
        <v>795</v>
      </c>
      <c r="F137" s="9" t="s">
        <v>1039</v>
      </c>
      <c r="G137" s="9" t="s">
        <v>1040</v>
      </c>
      <c r="H137" s="40">
        <v>0.47</v>
      </c>
      <c r="I137" s="30">
        <f t="shared" si="1"/>
        <v>902</v>
      </c>
      <c r="J137" s="31"/>
      <c r="K137" s="9"/>
      <c r="L137" s="31"/>
      <c r="M137" s="9"/>
      <c r="N137" s="31"/>
      <c r="O137" s="22"/>
      <c r="P137" s="22"/>
      <c r="Q137" s="22"/>
      <c r="R137" s="22"/>
      <c r="S137" s="31">
        <f>448+454</f>
        <v>902</v>
      </c>
      <c r="T137" s="22">
        <v>2</v>
      </c>
      <c r="U137" s="22">
        <v>3</v>
      </c>
      <c r="V137" s="22">
        <v>1.8</v>
      </c>
      <c r="W137" s="22">
        <v>2</v>
      </c>
      <c r="X137" s="9" t="s">
        <v>1297</v>
      </c>
      <c r="Y137" s="9" t="s">
        <v>1199</v>
      </c>
      <c r="Z137" s="9" t="s">
        <v>763</v>
      </c>
      <c r="AA137" s="9"/>
      <c r="AB137" s="9"/>
    </row>
    <row r="138" spans="1:28" s="1" customFormat="1" hidden="1" x14ac:dyDescent="0.3">
      <c r="A138" s="2">
        <v>134</v>
      </c>
      <c r="B138" s="4" t="s">
        <v>1041</v>
      </c>
      <c r="C138" s="9" t="s">
        <v>795</v>
      </c>
      <c r="D138" s="9" t="s">
        <v>1042</v>
      </c>
      <c r="E138" s="9" t="s">
        <v>1043</v>
      </c>
      <c r="F138" s="9" t="s">
        <v>1044</v>
      </c>
      <c r="G138" s="9"/>
      <c r="H138" s="40">
        <v>0.17</v>
      </c>
      <c r="I138" s="30">
        <f t="shared" si="1"/>
        <v>143</v>
      </c>
      <c r="J138" s="31"/>
      <c r="K138" s="9"/>
      <c r="L138" s="31"/>
      <c r="M138" s="9"/>
      <c r="N138" s="31"/>
      <c r="O138" s="22"/>
      <c r="P138" s="22"/>
      <c r="Q138" s="22"/>
      <c r="R138" s="22"/>
      <c r="S138" s="31">
        <v>143</v>
      </c>
      <c r="T138" s="22">
        <v>2</v>
      </c>
      <c r="U138" s="22">
        <v>3</v>
      </c>
      <c r="V138" s="22">
        <v>1.8</v>
      </c>
      <c r="W138" s="22">
        <v>2</v>
      </c>
      <c r="X138" s="9" t="s">
        <v>1297</v>
      </c>
      <c r="Y138" s="9" t="s">
        <v>1199</v>
      </c>
      <c r="Z138" s="9" t="s">
        <v>763</v>
      </c>
      <c r="AA138" s="9"/>
      <c r="AB138" s="9"/>
    </row>
    <row r="139" spans="1:28" s="1" customFormat="1" hidden="1" x14ac:dyDescent="0.3">
      <c r="A139" s="2">
        <v>135</v>
      </c>
      <c r="B139" s="4" t="s">
        <v>1011</v>
      </c>
      <c r="C139" s="9" t="s">
        <v>794</v>
      </c>
      <c r="D139" s="12" t="s">
        <v>703</v>
      </c>
      <c r="E139" s="9" t="s">
        <v>1049</v>
      </c>
      <c r="F139" s="9" t="s">
        <v>1050</v>
      </c>
      <c r="G139" s="9" t="s">
        <v>802</v>
      </c>
      <c r="H139" s="40">
        <v>1.63</v>
      </c>
      <c r="I139" s="30">
        <f t="shared" si="1"/>
        <v>2906</v>
      </c>
      <c r="J139" s="31"/>
      <c r="K139" s="9"/>
      <c r="L139" s="31"/>
      <c r="M139" s="9"/>
      <c r="N139" s="31"/>
      <c r="O139" s="22"/>
      <c r="P139" s="22"/>
      <c r="Q139" s="22"/>
      <c r="R139" s="22"/>
      <c r="S139" s="31">
        <f>361+696+1208+641</f>
        <v>2906</v>
      </c>
      <c r="T139" s="22">
        <v>2</v>
      </c>
      <c r="U139" s="22">
        <v>2.5</v>
      </c>
      <c r="V139" s="22">
        <v>2</v>
      </c>
      <c r="W139" s="22">
        <v>2.5</v>
      </c>
      <c r="X139" s="9" t="s">
        <v>1297</v>
      </c>
      <c r="Y139" s="9" t="s">
        <v>1207</v>
      </c>
      <c r="Z139" s="9" t="s">
        <v>837</v>
      </c>
      <c r="AA139" s="9"/>
      <c r="AB139" s="9"/>
    </row>
    <row r="140" spans="1:28" s="1" customFormat="1" hidden="1" x14ac:dyDescent="0.3">
      <c r="A140" s="2">
        <v>136</v>
      </c>
      <c r="B140" s="4" t="s">
        <v>1011</v>
      </c>
      <c r="C140" s="9" t="s">
        <v>1051</v>
      </c>
      <c r="D140" s="12" t="s">
        <v>704</v>
      </c>
      <c r="E140" s="9" t="s">
        <v>1052</v>
      </c>
      <c r="F140" s="9" t="s">
        <v>1053</v>
      </c>
      <c r="G140" s="9" t="s">
        <v>1054</v>
      </c>
      <c r="H140" s="40" t="s">
        <v>1278</v>
      </c>
      <c r="I140" s="30">
        <f t="shared" si="1"/>
        <v>253</v>
      </c>
      <c r="J140" s="31"/>
      <c r="K140" s="9"/>
      <c r="L140" s="31"/>
      <c r="M140" s="9"/>
      <c r="N140" s="31">
        <v>253</v>
      </c>
      <c r="O140" s="22">
        <v>1.5</v>
      </c>
      <c r="P140" s="22">
        <v>1.5</v>
      </c>
      <c r="Q140" s="22">
        <v>0.6</v>
      </c>
      <c r="R140" s="22">
        <v>0.6</v>
      </c>
      <c r="S140" s="31"/>
      <c r="T140" s="22"/>
      <c r="U140" s="22"/>
      <c r="V140" s="22"/>
      <c r="W140" s="22"/>
      <c r="X140" s="9"/>
      <c r="Y140" s="9" t="s">
        <v>1199</v>
      </c>
      <c r="Z140" s="9" t="s">
        <v>763</v>
      </c>
      <c r="AA140" s="9" t="s">
        <v>1199</v>
      </c>
      <c r="AB140" s="9" t="s">
        <v>763</v>
      </c>
    </row>
    <row r="141" spans="1:28" s="1" customFormat="1" hidden="1" x14ac:dyDescent="0.3">
      <c r="A141" s="2">
        <v>137</v>
      </c>
      <c r="B141" s="4" t="s">
        <v>793</v>
      </c>
      <c r="C141" s="4" t="s">
        <v>794</v>
      </c>
      <c r="D141" s="12" t="s">
        <v>145</v>
      </c>
      <c r="E141" s="4" t="s">
        <v>795</v>
      </c>
      <c r="F141" s="12" t="s">
        <v>146</v>
      </c>
      <c r="G141" s="4" t="s">
        <v>796</v>
      </c>
      <c r="H141" s="39">
        <v>1.17</v>
      </c>
      <c r="I141" s="30">
        <f t="shared" si="1"/>
        <v>2264</v>
      </c>
      <c r="J141" s="30"/>
      <c r="K141" s="3"/>
      <c r="L141" s="30"/>
      <c r="M141" s="3"/>
      <c r="N141" s="35">
        <f>1133+1131</f>
        <v>2264</v>
      </c>
      <c r="O141" s="21">
        <v>2.8</v>
      </c>
      <c r="P141" s="21">
        <v>3</v>
      </c>
      <c r="Q141" s="21">
        <v>1.7</v>
      </c>
      <c r="R141" s="21">
        <v>1.7</v>
      </c>
      <c r="S141" s="35"/>
      <c r="T141" s="21"/>
      <c r="U141" s="21"/>
      <c r="V141" s="21"/>
      <c r="W141" s="3"/>
      <c r="X141" s="3" t="s">
        <v>1283</v>
      </c>
      <c r="Y141" s="3" t="s">
        <v>762</v>
      </c>
      <c r="Z141" s="3" t="s">
        <v>1196</v>
      </c>
      <c r="AA141" s="3" t="s">
        <v>1208</v>
      </c>
      <c r="AB141" s="3" t="s">
        <v>1209</v>
      </c>
    </row>
    <row r="142" spans="1:28" x14ac:dyDescent="0.3">
      <c r="A142" s="50">
        <v>138</v>
      </c>
      <c r="B142" s="57" t="s">
        <v>1045</v>
      </c>
      <c r="C142" s="63" t="s">
        <v>115</v>
      </c>
      <c r="D142" s="63" t="s">
        <v>1046</v>
      </c>
      <c r="E142" s="63" t="s">
        <v>1047</v>
      </c>
      <c r="F142" s="58" t="s">
        <v>702</v>
      </c>
      <c r="G142" s="63" t="s">
        <v>1048</v>
      </c>
      <c r="H142" s="64">
        <v>0.59</v>
      </c>
      <c r="I142" s="53">
        <f t="shared" ref="I142:I205" si="3">J142+N142+S142+L142</f>
        <v>1126</v>
      </c>
      <c r="J142" s="65"/>
      <c r="K142" s="63"/>
      <c r="L142" s="65"/>
      <c r="M142" s="63"/>
      <c r="N142" s="65"/>
      <c r="O142" s="66"/>
      <c r="P142" s="66"/>
      <c r="Q142" s="66"/>
      <c r="R142" s="66"/>
      <c r="S142" s="65">
        <f>555+571</f>
        <v>1126</v>
      </c>
      <c r="T142" s="66">
        <v>6</v>
      </c>
      <c r="U142" s="66">
        <v>6</v>
      </c>
      <c r="V142" s="66">
        <v>4.8</v>
      </c>
      <c r="W142" s="66">
        <v>4.8</v>
      </c>
      <c r="X142" s="63" t="s">
        <v>1294</v>
      </c>
      <c r="Y142" s="63" t="s">
        <v>1210</v>
      </c>
      <c r="Z142" s="63" t="s">
        <v>764</v>
      </c>
      <c r="AA142" s="63"/>
      <c r="AB142" s="63"/>
    </row>
    <row r="143" spans="1:28" s="1" customFormat="1" hidden="1" x14ac:dyDescent="0.3">
      <c r="A143" s="2">
        <v>139</v>
      </c>
      <c r="B143" s="4" t="s">
        <v>1014</v>
      </c>
      <c r="C143" s="9" t="s">
        <v>115</v>
      </c>
      <c r="D143" s="9" t="s">
        <v>1015</v>
      </c>
      <c r="E143" s="9" t="s">
        <v>1016</v>
      </c>
      <c r="F143" s="9" t="s">
        <v>1017</v>
      </c>
      <c r="G143" s="9" t="s">
        <v>1018</v>
      </c>
      <c r="H143" s="40">
        <v>1.51</v>
      </c>
      <c r="I143" s="30">
        <f t="shared" si="3"/>
        <v>1353</v>
      </c>
      <c r="J143" s="31"/>
      <c r="K143" s="9"/>
      <c r="L143" s="31"/>
      <c r="M143" s="9"/>
      <c r="N143" s="31"/>
      <c r="O143" s="22"/>
      <c r="P143" s="22"/>
      <c r="Q143" s="22"/>
      <c r="R143" s="22"/>
      <c r="S143" s="31">
        <f>669+684</f>
        <v>1353</v>
      </c>
      <c r="T143" s="22">
        <v>2</v>
      </c>
      <c r="U143" s="22">
        <v>3.5</v>
      </c>
      <c r="V143" s="22">
        <v>2</v>
      </c>
      <c r="W143" s="22">
        <v>2.2999999999999998</v>
      </c>
      <c r="X143" s="9" t="s">
        <v>1295</v>
      </c>
      <c r="Y143" s="9" t="s">
        <v>1210</v>
      </c>
      <c r="Z143" s="9" t="s">
        <v>764</v>
      </c>
      <c r="AA143" s="9"/>
      <c r="AB143" s="9"/>
    </row>
    <row r="144" spans="1:28" s="1" customFormat="1" hidden="1" x14ac:dyDescent="0.3">
      <c r="A144" s="2">
        <v>140</v>
      </c>
      <c r="B144" s="4" t="s">
        <v>1014</v>
      </c>
      <c r="C144" s="9" t="s">
        <v>1019</v>
      </c>
      <c r="D144" s="9" t="s">
        <v>1020</v>
      </c>
      <c r="E144" s="9" t="s">
        <v>138</v>
      </c>
      <c r="F144" s="9" t="s">
        <v>167</v>
      </c>
      <c r="G144" s="9" t="s">
        <v>1021</v>
      </c>
      <c r="H144" s="40" t="s">
        <v>1278</v>
      </c>
      <c r="I144" s="30">
        <f t="shared" si="3"/>
        <v>1495</v>
      </c>
      <c r="J144" s="31"/>
      <c r="K144" s="9"/>
      <c r="L144" s="31"/>
      <c r="M144" s="9"/>
      <c r="N144" s="31">
        <f>750+745</f>
        <v>1495</v>
      </c>
      <c r="O144" s="22">
        <v>2.5</v>
      </c>
      <c r="P144" s="22">
        <v>2.5</v>
      </c>
      <c r="Q144" s="22">
        <v>2.5</v>
      </c>
      <c r="R144" s="22">
        <v>2.5</v>
      </c>
      <c r="S144" s="31"/>
      <c r="T144" s="22"/>
      <c r="U144" s="22"/>
      <c r="V144" s="22"/>
      <c r="W144" s="22"/>
      <c r="X144" s="9"/>
      <c r="Y144" s="9" t="s">
        <v>1211</v>
      </c>
      <c r="Z144" s="9" t="s">
        <v>763</v>
      </c>
      <c r="AA144" s="9" t="s">
        <v>1212</v>
      </c>
      <c r="AB144" s="9" t="s">
        <v>837</v>
      </c>
    </row>
    <row r="145" spans="1:28" s="1" customFormat="1" hidden="1" x14ac:dyDescent="0.3">
      <c r="A145" s="2">
        <v>141</v>
      </c>
      <c r="B145" s="4" t="s">
        <v>1057</v>
      </c>
      <c r="C145" s="9" t="s">
        <v>456</v>
      </c>
      <c r="D145" s="12" t="s">
        <v>457</v>
      </c>
      <c r="E145" s="9" t="s">
        <v>69</v>
      </c>
      <c r="F145" s="12" t="s">
        <v>458</v>
      </c>
      <c r="G145" s="9" t="s">
        <v>1058</v>
      </c>
      <c r="H145" s="40">
        <v>0.28000000000000003</v>
      </c>
      <c r="I145" s="30">
        <f t="shared" si="3"/>
        <v>240</v>
      </c>
      <c r="J145" s="31"/>
      <c r="K145" s="9"/>
      <c r="L145" s="31"/>
      <c r="M145" s="9"/>
      <c r="N145" s="31"/>
      <c r="O145" s="22"/>
      <c r="P145" s="22"/>
      <c r="Q145" s="22"/>
      <c r="R145" s="22"/>
      <c r="S145" s="31">
        <v>240</v>
      </c>
      <c r="T145" s="22">
        <v>3</v>
      </c>
      <c r="U145" s="22">
        <v>3</v>
      </c>
      <c r="V145" s="22">
        <v>3</v>
      </c>
      <c r="W145" s="22">
        <v>3</v>
      </c>
      <c r="X145" s="9" t="s">
        <v>1297</v>
      </c>
      <c r="Y145" s="9" t="s">
        <v>760</v>
      </c>
      <c r="Z145" s="9" t="s">
        <v>759</v>
      </c>
      <c r="AA145" s="9"/>
      <c r="AB145" s="9"/>
    </row>
    <row r="146" spans="1:28" s="1" customFormat="1" hidden="1" x14ac:dyDescent="0.3">
      <c r="A146" s="2">
        <v>142</v>
      </c>
      <c r="B146" s="4" t="s">
        <v>1070</v>
      </c>
      <c r="C146" s="9" t="s">
        <v>48</v>
      </c>
      <c r="D146" s="12" t="s">
        <v>483</v>
      </c>
      <c r="E146" s="9" t="s">
        <v>484</v>
      </c>
      <c r="F146" s="12" t="s">
        <v>485</v>
      </c>
      <c r="G146" s="9" t="s">
        <v>1071</v>
      </c>
      <c r="H146" s="40">
        <v>1.83</v>
      </c>
      <c r="I146" s="30">
        <f t="shared" si="3"/>
        <v>584</v>
      </c>
      <c r="J146" s="31"/>
      <c r="K146" s="9"/>
      <c r="L146" s="31"/>
      <c r="M146" s="9"/>
      <c r="N146" s="31"/>
      <c r="O146" s="22"/>
      <c r="P146" s="22"/>
      <c r="Q146" s="22"/>
      <c r="R146" s="22"/>
      <c r="S146" s="31">
        <f>290+294</f>
        <v>584</v>
      </c>
      <c r="T146" s="22">
        <v>2.5</v>
      </c>
      <c r="U146" s="22">
        <v>2.5</v>
      </c>
      <c r="V146" s="22">
        <v>1.5</v>
      </c>
      <c r="W146" s="22">
        <v>1.5</v>
      </c>
      <c r="X146" s="9" t="s">
        <v>1297</v>
      </c>
      <c r="Y146" s="9" t="s">
        <v>760</v>
      </c>
      <c r="Z146" s="9" t="s">
        <v>759</v>
      </c>
      <c r="AA146" s="9"/>
      <c r="AB146" s="9"/>
    </row>
    <row r="147" spans="1:28" s="1" customFormat="1" hidden="1" x14ac:dyDescent="0.3">
      <c r="A147" s="2">
        <v>143</v>
      </c>
      <c r="B147" s="4" t="s">
        <v>1080</v>
      </c>
      <c r="C147" s="9" t="s">
        <v>501</v>
      </c>
      <c r="D147" s="12" t="s">
        <v>502</v>
      </c>
      <c r="E147" s="9" t="s">
        <v>504</v>
      </c>
      <c r="F147" s="12" t="s">
        <v>503</v>
      </c>
      <c r="G147" s="9" t="s">
        <v>1081</v>
      </c>
      <c r="H147" s="40">
        <v>1.29</v>
      </c>
      <c r="I147" s="30">
        <f t="shared" si="3"/>
        <v>2279</v>
      </c>
      <c r="J147" s="31"/>
      <c r="K147" s="9"/>
      <c r="L147" s="31"/>
      <c r="M147" s="9"/>
      <c r="N147" s="31">
        <f>334+1205+341+264+135</f>
        <v>2279</v>
      </c>
      <c r="O147" s="22">
        <v>1</v>
      </c>
      <c r="P147" s="22">
        <v>1</v>
      </c>
      <c r="Q147" s="22">
        <v>1.3</v>
      </c>
      <c r="R147" s="22">
        <v>1.3</v>
      </c>
      <c r="S147" s="31"/>
      <c r="T147" s="22"/>
      <c r="U147" s="22"/>
      <c r="V147" s="22"/>
      <c r="W147" s="22"/>
      <c r="X147" s="9" t="s">
        <v>1294</v>
      </c>
      <c r="Y147" s="9" t="s">
        <v>1199</v>
      </c>
      <c r="Z147" s="9" t="s">
        <v>763</v>
      </c>
      <c r="AA147" s="9" t="s">
        <v>760</v>
      </c>
      <c r="AB147" s="9" t="s">
        <v>759</v>
      </c>
    </row>
    <row r="148" spans="1:28" s="1" customFormat="1" hidden="1" x14ac:dyDescent="0.3">
      <c r="A148" s="2">
        <v>144</v>
      </c>
      <c r="B148" s="4" t="s">
        <v>1082</v>
      </c>
      <c r="C148" s="9"/>
      <c r="D148" s="12" t="s">
        <v>505</v>
      </c>
      <c r="E148" s="9" t="s">
        <v>506</v>
      </c>
      <c r="F148" s="12" t="s">
        <v>507</v>
      </c>
      <c r="G148" s="12" t="s">
        <v>1083</v>
      </c>
      <c r="H148" s="40">
        <v>0.8</v>
      </c>
      <c r="I148" s="30">
        <f t="shared" si="3"/>
        <v>1598</v>
      </c>
      <c r="J148" s="31"/>
      <c r="K148" s="9"/>
      <c r="L148" s="31"/>
      <c r="M148" s="9"/>
      <c r="N148" s="31">
        <f>803+795</f>
        <v>1598</v>
      </c>
      <c r="O148" s="22">
        <v>2</v>
      </c>
      <c r="P148" s="22">
        <v>2</v>
      </c>
      <c r="Q148" s="22">
        <v>2</v>
      </c>
      <c r="R148" s="22">
        <v>2</v>
      </c>
      <c r="S148" s="31"/>
      <c r="T148" s="22"/>
      <c r="U148" s="22"/>
      <c r="V148" s="22"/>
      <c r="W148" s="22"/>
      <c r="X148" s="9" t="s">
        <v>1294</v>
      </c>
      <c r="Y148" s="9" t="s">
        <v>758</v>
      </c>
      <c r="Z148" s="9" t="s">
        <v>759</v>
      </c>
      <c r="AA148" s="9" t="s">
        <v>765</v>
      </c>
      <c r="AB148" s="9" t="s">
        <v>759</v>
      </c>
    </row>
    <row r="149" spans="1:28" s="1" customFormat="1" hidden="1" x14ac:dyDescent="0.3">
      <c r="A149" s="2">
        <v>145</v>
      </c>
      <c r="B149" s="4" t="s">
        <v>1084</v>
      </c>
      <c r="C149" s="9" t="s">
        <v>501</v>
      </c>
      <c r="D149" s="12" t="s">
        <v>508</v>
      </c>
      <c r="E149" s="9" t="s">
        <v>510</v>
      </c>
      <c r="F149" s="12" t="s">
        <v>509</v>
      </c>
      <c r="G149" s="9" t="s">
        <v>1085</v>
      </c>
      <c r="H149" s="40">
        <v>1.1499999999999999</v>
      </c>
      <c r="I149" s="30">
        <f t="shared" si="3"/>
        <v>1289</v>
      </c>
      <c r="J149" s="31"/>
      <c r="K149" s="9"/>
      <c r="L149" s="31"/>
      <c r="M149" s="9"/>
      <c r="N149" s="31"/>
      <c r="O149" s="22"/>
      <c r="P149" s="22"/>
      <c r="Q149" s="22"/>
      <c r="R149" s="22"/>
      <c r="S149" s="31">
        <f>1093+196</f>
        <v>1289</v>
      </c>
      <c r="T149" s="22">
        <v>1.5</v>
      </c>
      <c r="U149" s="22">
        <v>2.8</v>
      </c>
      <c r="V149" s="22">
        <v>1.5</v>
      </c>
      <c r="W149" s="22">
        <v>2.8</v>
      </c>
      <c r="X149" s="9" t="s">
        <v>1295</v>
      </c>
      <c r="Y149" s="9" t="s">
        <v>1199</v>
      </c>
      <c r="Z149" s="9" t="s">
        <v>763</v>
      </c>
      <c r="AA149" s="9"/>
      <c r="AB149" s="9"/>
    </row>
    <row r="150" spans="1:28" s="1" customFormat="1" hidden="1" x14ac:dyDescent="0.3">
      <c r="A150" s="2">
        <v>146</v>
      </c>
      <c r="B150" s="4" t="s">
        <v>1086</v>
      </c>
      <c r="C150" s="9" t="s">
        <v>71</v>
      </c>
      <c r="D150" s="12" t="s">
        <v>511</v>
      </c>
      <c r="E150" s="9" t="s">
        <v>487</v>
      </c>
      <c r="F150" s="12" t="s">
        <v>512</v>
      </c>
      <c r="G150" s="9" t="s">
        <v>1087</v>
      </c>
      <c r="H150" s="40">
        <v>0.95</v>
      </c>
      <c r="I150" s="30">
        <f t="shared" si="3"/>
        <v>1825</v>
      </c>
      <c r="J150" s="31"/>
      <c r="K150" s="9"/>
      <c r="L150" s="31"/>
      <c r="M150" s="9"/>
      <c r="N150" s="31"/>
      <c r="O150" s="22"/>
      <c r="P150" s="22"/>
      <c r="Q150" s="22"/>
      <c r="R150" s="22"/>
      <c r="S150" s="31">
        <f>932+893</f>
        <v>1825</v>
      </c>
      <c r="T150" s="22">
        <v>2</v>
      </c>
      <c r="U150" s="22">
        <v>2.5</v>
      </c>
      <c r="V150" s="22">
        <v>2</v>
      </c>
      <c r="W150" s="22">
        <v>2.5</v>
      </c>
      <c r="X150" s="9" t="s">
        <v>1295</v>
      </c>
      <c r="Y150" s="9" t="s">
        <v>1199</v>
      </c>
      <c r="Z150" s="9" t="s">
        <v>763</v>
      </c>
      <c r="AA150" s="9"/>
      <c r="AB150" s="9"/>
    </row>
    <row r="151" spans="1:28" s="1" customFormat="1" hidden="1" x14ac:dyDescent="0.3">
      <c r="A151" s="2">
        <v>147</v>
      </c>
      <c r="B151" s="4" t="s">
        <v>1088</v>
      </c>
      <c r="C151" s="9" t="s">
        <v>515</v>
      </c>
      <c r="D151" s="12" t="s">
        <v>514</v>
      </c>
      <c r="E151" s="9" t="s">
        <v>71</v>
      </c>
      <c r="F151" s="12" t="s">
        <v>513</v>
      </c>
      <c r="G151" s="9" t="s">
        <v>1089</v>
      </c>
      <c r="H151" s="40">
        <v>0.56000000000000005</v>
      </c>
      <c r="I151" s="30">
        <f t="shared" si="3"/>
        <v>936</v>
      </c>
      <c r="J151" s="31"/>
      <c r="K151" s="9"/>
      <c r="L151" s="31"/>
      <c r="M151" s="9"/>
      <c r="N151" s="31"/>
      <c r="O151" s="22"/>
      <c r="P151" s="22"/>
      <c r="Q151" s="22"/>
      <c r="R151" s="22"/>
      <c r="S151" s="31">
        <f>464+472</f>
        <v>936</v>
      </c>
      <c r="T151" s="22">
        <v>3</v>
      </c>
      <c r="U151" s="22">
        <v>3</v>
      </c>
      <c r="V151" s="22">
        <v>3</v>
      </c>
      <c r="W151" s="22">
        <v>3</v>
      </c>
      <c r="X151" s="9" t="s">
        <v>1295</v>
      </c>
      <c r="Y151" s="9" t="s">
        <v>1199</v>
      </c>
      <c r="Z151" s="9" t="s">
        <v>763</v>
      </c>
      <c r="AA151" s="9"/>
      <c r="AB151" s="9"/>
    </row>
    <row r="152" spans="1:28" s="1" customFormat="1" hidden="1" x14ac:dyDescent="0.3">
      <c r="A152" s="2">
        <v>148</v>
      </c>
      <c r="B152" s="4" t="s">
        <v>1090</v>
      </c>
      <c r="C152" s="12" t="s">
        <v>517</v>
      </c>
      <c r="D152" s="12" t="s">
        <v>516</v>
      </c>
      <c r="E152" s="9" t="s">
        <v>71</v>
      </c>
      <c r="F152" s="12" t="s">
        <v>518</v>
      </c>
      <c r="G152" s="9" t="s">
        <v>1091</v>
      </c>
      <c r="H152" s="40">
        <v>0.71</v>
      </c>
      <c r="I152" s="30">
        <f t="shared" si="3"/>
        <v>1048</v>
      </c>
      <c r="J152" s="31"/>
      <c r="K152" s="9"/>
      <c r="L152" s="31"/>
      <c r="M152" s="9"/>
      <c r="N152" s="31"/>
      <c r="O152" s="22"/>
      <c r="P152" s="22"/>
      <c r="Q152" s="22"/>
      <c r="R152" s="22"/>
      <c r="S152" s="31">
        <f>524+524</f>
        <v>1048</v>
      </c>
      <c r="T152" s="22">
        <v>3</v>
      </c>
      <c r="U152" s="22">
        <v>3</v>
      </c>
      <c r="V152" s="22">
        <v>3</v>
      </c>
      <c r="W152" s="22">
        <v>3</v>
      </c>
      <c r="X152" s="9" t="s">
        <v>1295</v>
      </c>
      <c r="Y152" s="9" t="s">
        <v>1199</v>
      </c>
      <c r="Z152" s="9" t="s">
        <v>763</v>
      </c>
      <c r="AA152" s="9"/>
      <c r="AB152" s="9"/>
    </row>
    <row r="153" spans="1:28" s="1" customFormat="1" hidden="1" x14ac:dyDescent="0.3">
      <c r="A153" s="2">
        <v>149</v>
      </c>
      <c r="B153" s="4" t="s">
        <v>1076</v>
      </c>
      <c r="C153" s="9" t="s">
        <v>493</v>
      </c>
      <c r="D153" s="12" t="s">
        <v>494</v>
      </c>
      <c r="E153" s="9" t="s">
        <v>15</v>
      </c>
      <c r="F153" s="12" t="s">
        <v>495</v>
      </c>
      <c r="G153" s="9" t="s">
        <v>1077</v>
      </c>
      <c r="H153" s="40">
        <v>2.09</v>
      </c>
      <c r="I153" s="30">
        <f t="shared" si="3"/>
        <v>1283</v>
      </c>
      <c r="J153" s="31"/>
      <c r="K153" s="9"/>
      <c r="L153" s="31"/>
      <c r="M153" s="9"/>
      <c r="N153" s="31">
        <f>646+637</f>
        <v>1283</v>
      </c>
      <c r="O153" s="22">
        <v>1.5</v>
      </c>
      <c r="P153" s="22">
        <v>1.5</v>
      </c>
      <c r="Q153" s="22">
        <v>1.5</v>
      </c>
      <c r="R153" s="22">
        <v>1.5</v>
      </c>
      <c r="S153" s="31"/>
      <c r="T153" s="22"/>
      <c r="U153" s="22"/>
      <c r="V153" s="22"/>
      <c r="W153" s="22"/>
      <c r="X153" s="9" t="s">
        <v>1297</v>
      </c>
      <c r="Y153" s="9" t="s">
        <v>762</v>
      </c>
      <c r="Z153" s="9" t="s">
        <v>763</v>
      </c>
      <c r="AA153" s="9" t="s">
        <v>760</v>
      </c>
      <c r="AB153" s="9" t="s">
        <v>763</v>
      </c>
    </row>
    <row r="154" spans="1:28" s="1" customFormat="1" hidden="1" x14ac:dyDescent="0.3">
      <c r="A154" s="2">
        <v>150</v>
      </c>
      <c r="B154" s="4" t="s">
        <v>1079</v>
      </c>
      <c r="C154" s="9" t="s">
        <v>11</v>
      </c>
      <c r="D154" s="12" t="s">
        <v>499</v>
      </c>
      <c r="E154" s="9" t="s">
        <v>37</v>
      </c>
      <c r="F154" s="12" t="s">
        <v>500</v>
      </c>
      <c r="G154" s="9"/>
      <c r="H154" s="40">
        <v>0.22</v>
      </c>
      <c r="I154" s="30">
        <f t="shared" si="3"/>
        <v>371</v>
      </c>
      <c r="J154" s="31"/>
      <c r="K154" s="9"/>
      <c r="L154" s="31"/>
      <c r="M154" s="9"/>
      <c r="N154" s="31">
        <f>186+185</f>
        <v>371</v>
      </c>
      <c r="O154" s="22">
        <v>1.5</v>
      </c>
      <c r="P154" s="22">
        <v>1.5</v>
      </c>
      <c r="Q154" s="22">
        <v>1.5</v>
      </c>
      <c r="R154" s="22">
        <v>1.5</v>
      </c>
      <c r="S154" s="31"/>
      <c r="T154" s="22"/>
      <c r="U154" s="22"/>
      <c r="V154" s="22"/>
      <c r="W154" s="22"/>
      <c r="X154" s="9" t="s">
        <v>1407</v>
      </c>
      <c r="Y154" s="9" t="s">
        <v>762</v>
      </c>
      <c r="Z154" s="9" t="s">
        <v>763</v>
      </c>
      <c r="AA154" s="9" t="s">
        <v>760</v>
      </c>
      <c r="AB154" s="9" t="s">
        <v>763</v>
      </c>
    </row>
    <row r="155" spans="1:28" s="1" customFormat="1" hidden="1" x14ac:dyDescent="0.3">
      <c r="A155" s="2">
        <v>151</v>
      </c>
      <c r="B155" s="18" t="s">
        <v>1279</v>
      </c>
      <c r="C155" s="12" t="s">
        <v>37</v>
      </c>
      <c r="D155" s="12" t="s">
        <v>496</v>
      </c>
      <c r="E155" s="9" t="s">
        <v>498</v>
      </c>
      <c r="F155" s="12" t="s">
        <v>497</v>
      </c>
      <c r="G155" s="9" t="s">
        <v>1078</v>
      </c>
      <c r="H155" s="40">
        <v>0.26</v>
      </c>
      <c r="I155" s="30">
        <f t="shared" si="3"/>
        <v>261</v>
      </c>
      <c r="J155" s="31"/>
      <c r="K155" s="9"/>
      <c r="L155" s="31"/>
      <c r="M155" s="9"/>
      <c r="N155" s="31">
        <v>261</v>
      </c>
      <c r="O155" s="22">
        <v>1.5</v>
      </c>
      <c r="P155" s="22">
        <v>1.5</v>
      </c>
      <c r="Q155" s="22">
        <v>1.5</v>
      </c>
      <c r="R155" s="22">
        <v>1.5</v>
      </c>
      <c r="S155" s="31"/>
      <c r="T155" s="22"/>
      <c r="U155" s="22"/>
      <c r="V155" s="22"/>
      <c r="W155" s="22"/>
      <c r="X155" s="9" t="s">
        <v>1407</v>
      </c>
      <c r="Y155" s="9" t="s">
        <v>762</v>
      </c>
      <c r="Z155" s="9" t="s">
        <v>763</v>
      </c>
      <c r="AA155" s="9" t="s">
        <v>760</v>
      </c>
      <c r="AB155" s="9" t="s">
        <v>763</v>
      </c>
    </row>
    <row r="156" spans="1:28" s="1" customFormat="1" hidden="1" x14ac:dyDescent="0.3">
      <c r="A156" s="2">
        <v>152</v>
      </c>
      <c r="B156" s="4" t="s">
        <v>785</v>
      </c>
      <c r="C156" s="4" t="s">
        <v>786</v>
      </c>
      <c r="D156" s="12" t="s">
        <v>143</v>
      </c>
      <c r="E156" s="4" t="s">
        <v>787</v>
      </c>
      <c r="F156" s="12" t="s">
        <v>144</v>
      </c>
      <c r="G156" s="4" t="s">
        <v>130</v>
      </c>
      <c r="H156" s="39">
        <v>14.89</v>
      </c>
      <c r="I156" s="30">
        <f t="shared" si="3"/>
        <v>7624</v>
      </c>
      <c r="J156" s="30"/>
      <c r="K156" s="3"/>
      <c r="L156" s="30"/>
      <c r="M156" s="3"/>
      <c r="N156" s="35">
        <f>1524+1539+674+679+1711+984+513</f>
        <v>7624</v>
      </c>
      <c r="O156" s="21">
        <v>1.5</v>
      </c>
      <c r="P156" s="21">
        <v>2.5</v>
      </c>
      <c r="Q156" s="21">
        <v>1.5</v>
      </c>
      <c r="R156" s="21">
        <v>3</v>
      </c>
      <c r="S156" s="35"/>
      <c r="T156" s="21"/>
      <c r="U156" s="21"/>
      <c r="V156" s="21"/>
      <c r="W156" s="3"/>
      <c r="X156" s="3" t="s">
        <v>1281</v>
      </c>
      <c r="Y156" s="3" t="s">
        <v>1215</v>
      </c>
      <c r="Z156" s="3" t="s">
        <v>1197</v>
      </c>
      <c r="AA156" s="3" t="s">
        <v>760</v>
      </c>
      <c r="AB156" s="3" t="s">
        <v>1214</v>
      </c>
    </row>
    <row r="157" spans="1:28" s="1" customFormat="1" hidden="1" x14ac:dyDescent="0.3">
      <c r="A157" s="2">
        <v>153</v>
      </c>
      <c r="B157" s="4" t="s">
        <v>785</v>
      </c>
      <c r="C157" s="4" t="s">
        <v>788</v>
      </c>
      <c r="D157" s="12" t="s">
        <v>789</v>
      </c>
      <c r="E157" s="4"/>
      <c r="F157" s="12" t="s">
        <v>175</v>
      </c>
      <c r="G157" s="4"/>
      <c r="H157" s="39" t="s">
        <v>1278</v>
      </c>
      <c r="I157" s="30">
        <f t="shared" si="3"/>
        <v>112</v>
      </c>
      <c r="J157" s="30"/>
      <c r="K157" s="3"/>
      <c r="L157" s="30"/>
      <c r="M157" s="3"/>
      <c r="N157" s="35"/>
      <c r="O157" s="21"/>
      <c r="P157" s="21"/>
      <c r="Q157" s="21"/>
      <c r="R157" s="21"/>
      <c r="S157" s="35">
        <v>112</v>
      </c>
      <c r="T157" s="21">
        <v>4</v>
      </c>
      <c r="U157" s="21">
        <v>4</v>
      </c>
      <c r="V157" s="21">
        <v>4</v>
      </c>
      <c r="W157" s="21">
        <v>4</v>
      </c>
      <c r="X157" s="3"/>
      <c r="Y157" s="3" t="s">
        <v>1199</v>
      </c>
      <c r="Z157" s="3" t="s">
        <v>763</v>
      </c>
      <c r="AA157" s="3"/>
      <c r="AB157" s="3"/>
    </row>
    <row r="158" spans="1:28" s="1" customFormat="1" hidden="1" x14ac:dyDescent="0.3">
      <c r="A158" s="2">
        <v>154</v>
      </c>
      <c r="B158" s="4" t="s">
        <v>785</v>
      </c>
      <c r="C158" s="4" t="s">
        <v>790</v>
      </c>
      <c r="D158" s="12" t="s">
        <v>791</v>
      </c>
      <c r="E158" s="4" t="s">
        <v>787</v>
      </c>
      <c r="F158" s="12" t="s">
        <v>792</v>
      </c>
      <c r="G158" s="4" t="s">
        <v>790</v>
      </c>
      <c r="H158" s="39" t="s">
        <v>1278</v>
      </c>
      <c r="I158" s="30">
        <f t="shared" si="3"/>
        <v>99</v>
      </c>
      <c r="J158" s="30"/>
      <c r="K158" s="3"/>
      <c r="L158" s="30"/>
      <c r="M158" s="3"/>
      <c r="N158" s="35"/>
      <c r="O158" s="21"/>
      <c r="P158" s="21"/>
      <c r="Q158" s="21"/>
      <c r="R158" s="21"/>
      <c r="S158" s="35">
        <v>99</v>
      </c>
      <c r="T158" s="21">
        <v>1.5</v>
      </c>
      <c r="U158" s="21">
        <v>3</v>
      </c>
      <c r="V158" s="21">
        <v>1.5</v>
      </c>
      <c r="W158" s="3">
        <v>3</v>
      </c>
      <c r="X158" s="3"/>
      <c r="Y158" s="3" t="s">
        <v>1199</v>
      </c>
      <c r="Z158" s="3" t="s">
        <v>763</v>
      </c>
      <c r="AA158" s="3"/>
      <c r="AB158" s="3"/>
    </row>
    <row r="159" spans="1:28" s="1" customFormat="1" hidden="1" x14ac:dyDescent="0.3">
      <c r="A159" s="2">
        <v>155</v>
      </c>
      <c r="B159" s="10" t="s">
        <v>50</v>
      </c>
      <c r="C159" s="9" t="s">
        <v>368</v>
      </c>
      <c r="D159" s="9" t="s">
        <v>369</v>
      </c>
      <c r="E159" s="9" t="s">
        <v>11</v>
      </c>
      <c r="F159" s="9" t="s">
        <v>370</v>
      </c>
      <c r="G159" s="9" t="s">
        <v>975</v>
      </c>
      <c r="H159" s="40">
        <v>5.13</v>
      </c>
      <c r="I159" s="30">
        <f t="shared" si="3"/>
        <v>1286</v>
      </c>
      <c r="J159" s="31"/>
      <c r="K159" s="9"/>
      <c r="L159" s="31"/>
      <c r="M159" s="9"/>
      <c r="N159" s="31">
        <f>620+666</f>
        <v>1286</v>
      </c>
      <c r="O159" s="22">
        <v>1.5</v>
      </c>
      <c r="P159" s="22">
        <v>1.5</v>
      </c>
      <c r="Q159" s="22">
        <v>1</v>
      </c>
      <c r="R159" s="22">
        <v>1.5</v>
      </c>
      <c r="S159" s="31"/>
      <c r="T159" s="22"/>
      <c r="U159" s="22"/>
      <c r="V159" s="22"/>
      <c r="W159" s="22"/>
      <c r="X159" s="9" t="s">
        <v>1280</v>
      </c>
      <c r="Y159" s="9" t="s">
        <v>762</v>
      </c>
      <c r="Z159" s="9" t="s">
        <v>763</v>
      </c>
      <c r="AA159" s="9" t="s">
        <v>760</v>
      </c>
      <c r="AB159" s="9" t="s">
        <v>763</v>
      </c>
    </row>
    <row r="160" spans="1:28" s="1" customFormat="1" hidden="1" x14ac:dyDescent="0.3">
      <c r="A160" s="2">
        <v>156</v>
      </c>
      <c r="B160" s="4" t="s">
        <v>1074</v>
      </c>
      <c r="C160" s="9" t="s">
        <v>490</v>
      </c>
      <c r="D160" s="12" t="s">
        <v>491</v>
      </c>
      <c r="E160" s="9" t="s">
        <v>368</v>
      </c>
      <c r="F160" s="12" t="s">
        <v>492</v>
      </c>
      <c r="G160" s="9" t="s">
        <v>1075</v>
      </c>
      <c r="H160" s="40">
        <v>2.0299999999999998</v>
      </c>
      <c r="I160" s="30">
        <f t="shared" si="3"/>
        <v>2328</v>
      </c>
      <c r="J160" s="31"/>
      <c r="K160" s="9"/>
      <c r="L160" s="31"/>
      <c r="M160" s="9"/>
      <c r="N160" s="31">
        <f>1421+53+72+782</f>
        <v>2328</v>
      </c>
      <c r="O160" s="22">
        <v>1.2</v>
      </c>
      <c r="P160" s="22">
        <v>1.5</v>
      </c>
      <c r="Q160" s="22">
        <v>1.2</v>
      </c>
      <c r="R160" s="22">
        <v>1.5</v>
      </c>
      <c r="S160" s="31"/>
      <c r="T160" s="22"/>
      <c r="U160" s="22"/>
      <c r="V160" s="22"/>
      <c r="W160" s="22"/>
      <c r="X160" s="9" t="s">
        <v>1297</v>
      </c>
      <c r="Y160" s="9" t="s">
        <v>762</v>
      </c>
      <c r="Z160" s="9" t="s">
        <v>763</v>
      </c>
      <c r="AA160" s="9" t="s">
        <v>760</v>
      </c>
      <c r="AB160" s="9" t="s">
        <v>763</v>
      </c>
    </row>
    <row r="161" spans="1:28" s="1" customFormat="1" hidden="1" x14ac:dyDescent="0.3">
      <c r="A161" s="2">
        <v>157</v>
      </c>
      <c r="B161" s="11" t="s">
        <v>448</v>
      </c>
      <c r="C161" s="9" t="s">
        <v>33</v>
      </c>
      <c r="D161" s="9" t="s">
        <v>1206</v>
      </c>
      <c r="E161" s="9" t="s">
        <v>650</v>
      </c>
      <c r="F161" s="12" t="s">
        <v>649</v>
      </c>
      <c r="G161" s="9" t="s">
        <v>1163</v>
      </c>
      <c r="H161" s="40">
        <v>1.83</v>
      </c>
      <c r="I161" s="30">
        <f t="shared" si="3"/>
        <v>1284</v>
      </c>
      <c r="J161" s="31"/>
      <c r="K161" s="9"/>
      <c r="L161" s="31"/>
      <c r="M161" s="9"/>
      <c r="N161" s="31">
        <v>1284</v>
      </c>
      <c r="O161" s="29">
        <v>2</v>
      </c>
      <c r="P161" s="22">
        <v>2</v>
      </c>
      <c r="Q161" s="22">
        <v>1.5</v>
      </c>
      <c r="R161" s="22">
        <v>1.5</v>
      </c>
      <c r="S161" s="31"/>
      <c r="T161" s="22"/>
      <c r="U161" s="22"/>
      <c r="V161" s="22"/>
      <c r="W161" s="22"/>
      <c r="X161" s="9" t="s">
        <v>1295</v>
      </c>
      <c r="Y161" s="9" t="s">
        <v>1216</v>
      </c>
      <c r="Z161" s="9" t="s">
        <v>763</v>
      </c>
      <c r="AA161" s="9" t="s">
        <v>760</v>
      </c>
      <c r="AB161" s="9" t="s">
        <v>759</v>
      </c>
    </row>
    <row r="162" spans="1:28" s="1" customFormat="1" hidden="1" x14ac:dyDescent="0.3">
      <c r="A162" s="2">
        <v>158</v>
      </c>
      <c r="B162" s="4" t="s">
        <v>1072</v>
      </c>
      <c r="C162" s="9" t="s">
        <v>487</v>
      </c>
      <c r="D162" s="12" t="s">
        <v>488</v>
      </c>
      <c r="E162" s="9" t="s">
        <v>24</v>
      </c>
      <c r="F162" s="12" t="s">
        <v>489</v>
      </c>
      <c r="G162" s="9" t="s">
        <v>1073</v>
      </c>
      <c r="H162" s="40">
        <v>0.9</v>
      </c>
      <c r="I162" s="30">
        <f t="shared" si="3"/>
        <v>418</v>
      </c>
      <c r="J162" s="31"/>
      <c r="K162" s="9"/>
      <c r="L162" s="31"/>
      <c r="M162" s="9"/>
      <c r="N162" s="31">
        <f>211+207</f>
        <v>418</v>
      </c>
      <c r="O162" s="22">
        <v>1.5</v>
      </c>
      <c r="P162" s="22">
        <v>1.5</v>
      </c>
      <c r="Q162" s="22">
        <v>1.5</v>
      </c>
      <c r="R162" s="22">
        <v>1.5</v>
      </c>
      <c r="S162" s="31"/>
      <c r="T162" s="22"/>
      <c r="U162" s="22"/>
      <c r="V162" s="22"/>
      <c r="W162" s="22"/>
      <c r="X162" s="9" t="s">
        <v>1297</v>
      </c>
      <c r="Y162" s="9" t="s">
        <v>762</v>
      </c>
      <c r="Z162" s="9" t="s">
        <v>763</v>
      </c>
      <c r="AA162" s="9" t="s">
        <v>760</v>
      </c>
      <c r="AB162" s="9" t="s">
        <v>763</v>
      </c>
    </row>
    <row r="163" spans="1:28" s="1" customFormat="1" hidden="1" x14ac:dyDescent="0.3">
      <c r="A163" s="2">
        <v>159</v>
      </c>
      <c r="B163" s="10" t="s">
        <v>452</v>
      </c>
      <c r="C163" s="9" t="s">
        <v>24</v>
      </c>
      <c r="D163" s="12" t="s">
        <v>652</v>
      </c>
      <c r="E163" s="9" t="s">
        <v>15</v>
      </c>
      <c r="F163" s="12" t="s">
        <v>653</v>
      </c>
      <c r="G163" s="12" t="s">
        <v>711</v>
      </c>
      <c r="H163" s="40">
        <v>0.33</v>
      </c>
      <c r="I163" s="30">
        <f t="shared" si="3"/>
        <v>235</v>
      </c>
      <c r="J163" s="31"/>
      <c r="K163" s="9"/>
      <c r="L163" s="31"/>
      <c r="M163" s="9"/>
      <c r="N163" s="31">
        <v>235</v>
      </c>
      <c r="O163" s="22">
        <v>1.5</v>
      </c>
      <c r="P163" s="22">
        <v>1.5</v>
      </c>
      <c r="Q163" s="22">
        <v>1.5</v>
      </c>
      <c r="R163" s="22">
        <v>1.5</v>
      </c>
      <c r="S163" s="31"/>
      <c r="T163" s="22"/>
      <c r="U163" s="22"/>
      <c r="V163" s="22"/>
      <c r="W163" s="22"/>
      <c r="X163" s="9" t="s">
        <v>1294</v>
      </c>
      <c r="Y163" s="9" t="s">
        <v>762</v>
      </c>
      <c r="Z163" s="9" t="s">
        <v>763</v>
      </c>
      <c r="AA163" s="9" t="s">
        <v>760</v>
      </c>
      <c r="AB163" s="9" t="s">
        <v>763</v>
      </c>
    </row>
    <row r="164" spans="1:28" s="1" customFormat="1" hidden="1" x14ac:dyDescent="0.3">
      <c r="A164" s="2">
        <v>160</v>
      </c>
      <c r="B164" s="10" t="s">
        <v>451</v>
      </c>
      <c r="C164" s="9" t="s">
        <v>24</v>
      </c>
      <c r="D164" s="12" t="s">
        <v>465</v>
      </c>
      <c r="E164" s="9"/>
      <c r="F164" s="12" t="s">
        <v>651</v>
      </c>
      <c r="G164" s="12" t="s">
        <v>710</v>
      </c>
      <c r="H164" s="40">
        <v>0.16</v>
      </c>
      <c r="I164" s="30">
        <f t="shared" si="3"/>
        <v>145</v>
      </c>
      <c r="J164" s="31"/>
      <c r="K164" s="9"/>
      <c r="L164" s="31"/>
      <c r="M164" s="9"/>
      <c r="N164" s="31">
        <v>145</v>
      </c>
      <c r="O164" s="22">
        <v>1.5</v>
      </c>
      <c r="P164" s="22">
        <v>1.5</v>
      </c>
      <c r="Q164" s="22">
        <v>1.5</v>
      </c>
      <c r="R164" s="22">
        <v>1.5</v>
      </c>
      <c r="S164" s="31"/>
      <c r="T164" s="22"/>
      <c r="U164" s="22"/>
      <c r="V164" s="22"/>
      <c r="W164" s="22"/>
      <c r="X164" s="9" t="s">
        <v>1294</v>
      </c>
      <c r="Y164" s="9" t="s">
        <v>762</v>
      </c>
      <c r="Z164" s="9" t="s">
        <v>763</v>
      </c>
      <c r="AA164" s="9" t="s">
        <v>760</v>
      </c>
      <c r="AB164" s="9" t="s">
        <v>763</v>
      </c>
    </row>
    <row r="165" spans="1:28" s="1" customFormat="1" hidden="1" x14ac:dyDescent="0.3">
      <c r="A165" s="2">
        <v>161</v>
      </c>
      <c r="B165" s="10" t="s">
        <v>49</v>
      </c>
      <c r="C165" s="9" t="s">
        <v>357</v>
      </c>
      <c r="D165" s="12" t="s">
        <v>358</v>
      </c>
      <c r="E165" s="9" t="s">
        <v>971</v>
      </c>
      <c r="F165" s="12" t="s">
        <v>359</v>
      </c>
      <c r="G165" s="9" t="s">
        <v>972</v>
      </c>
      <c r="H165" s="40">
        <v>3.39</v>
      </c>
      <c r="I165" s="30">
        <f t="shared" si="3"/>
        <v>2092</v>
      </c>
      <c r="J165" s="31"/>
      <c r="K165" s="9"/>
      <c r="L165" s="31"/>
      <c r="M165" s="9"/>
      <c r="N165" s="31"/>
      <c r="O165" s="22"/>
      <c r="P165" s="22"/>
      <c r="Q165" s="22"/>
      <c r="R165" s="22"/>
      <c r="S165" s="31">
        <f>1073+1019</f>
        <v>2092</v>
      </c>
      <c r="T165" s="22">
        <v>3</v>
      </c>
      <c r="U165" s="22">
        <v>3</v>
      </c>
      <c r="V165" s="22">
        <v>1.5</v>
      </c>
      <c r="W165" s="22">
        <v>1.5</v>
      </c>
      <c r="X165" s="9" t="s">
        <v>1281</v>
      </c>
      <c r="Y165" s="9" t="s">
        <v>1217</v>
      </c>
      <c r="Z165" s="9" t="s">
        <v>764</v>
      </c>
      <c r="AA165" s="9"/>
      <c r="AB165" s="9"/>
    </row>
    <row r="166" spans="1:28" s="1" customFormat="1" hidden="1" x14ac:dyDescent="0.3">
      <c r="A166" s="2">
        <v>162</v>
      </c>
      <c r="B166" s="10" t="s">
        <v>49</v>
      </c>
      <c r="C166" s="9" t="s">
        <v>360</v>
      </c>
      <c r="D166" s="12" t="s">
        <v>361</v>
      </c>
      <c r="E166" s="9" t="s">
        <v>363</v>
      </c>
      <c r="F166" s="12" t="s">
        <v>362</v>
      </c>
      <c r="G166" s="9" t="s">
        <v>970</v>
      </c>
      <c r="H166" s="40"/>
      <c r="I166" s="30">
        <f t="shared" si="3"/>
        <v>1460</v>
      </c>
      <c r="J166" s="31"/>
      <c r="K166" s="9"/>
      <c r="L166" s="31"/>
      <c r="M166" s="9"/>
      <c r="N166" s="31">
        <f>689+771</f>
        <v>1460</v>
      </c>
      <c r="O166" s="22">
        <v>2</v>
      </c>
      <c r="P166" s="22">
        <v>2</v>
      </c>
      <c r="Q166" s="22">
        <v>1.5</v>
      </c>
      <c r="R166" s="22">
        <v>1.5</v>
      </c>
      <c r="S166" s="31"/>
      <c r="T166" s="22"/>
      <c r="U166" s="22"/>
      <c r="V166" s="22"/>
      <c r="W166" s="22"/>
      <c r="X166" s="9"/>
      <c r="Y166" s="9" t="s">
        <v>1213</v>
      </c>
      <c r="Z166" s="9" t="s">
        <v>763</v>
      </c>
      <c r="AA166" s="9" t="s">
        <v>760</v>
      </c>
      <c r="AB166" s="9" t="s">
        <v>764</v>
      </c>
    </row>
    <row r="167" spans="1:28" s="1" customFormat="1" hidden="1" x14ac:dyDescent="0.3">
      <c r="A167" s="2">
        <v>163</v>
      </c>
      <c r="B167" s="10" t="s">
        <v>1285</v>
      </c>
      <c r="C167" s="9" t="s">
        <v>1222</v>
      </c>
      <c r="D167" s="12" t="s">
        <v>364</v>
      </c>
      <c r="E167" s="9" t="s">
        <v>50</v>
      </c>
      <c r="F167" s="12" t="s">
        <v>366</v>
      </c>
      <c r="G167" s="9" t="s">
        <v>973</v>
      </c>
      <c r="H167" s="40">
        <v>0.79</v>
      </c>
      <c r="I167" s="30">
        <f t="shared" si="3"/>
        <v>1407</v>
      </c>
      <c r="J167" s="31"/>
      <c r="K167" s="9"/>
      <c r="L167" s="31"/>
      <c r="M167" s="9"/>
      <c r="N167" s="31">
        <f>609+583+112+103</f>
        <v>1407</v>
      </c>
      <c r="O167" s="22">
        <v>1.3</v>
      </c>
      <c r="P167" s="22">
        <v>1.8</v>
      </c>
      <c r="Q167" s="22">
        <v>1.2</v>
      </c>
      <c r="R167" s="22">
        <v>1.2</v>
      </c>
      <c r="S167" s="31"/>
      <c r="T167" s="22"/>
      <c r="U167" s="22"/>
      <c r="V167" s="22"/>
      <c r="W167" s="22"/>
      <c r="X167" s="9" t="s">
        <v>1280</v>
      </c>
      <c r="Y167" s="9" t="s">
        <v>1213</v>
      </c>
      <c r="Z167" s="9" t="s">
        <v>763</v>
      </c>
      <c r="AA167" s="9" t="s">
        <v>760</v>
      </c>
      <c r="AB167" s="9" t="s">
        <v>764</v>
      </c>
    </row>
    <row r="168" spans="1:28" s="1" customFormat="1" hidden="1" x14ac:dyDescent="0.3">
      <c r="A168" s="2">
        <v>164</v>
      </c>
      <c r="B168" s="10" t="s">
        <v>242</v>
      </c>
      <c r="C168" s="9" t="s">
        <v>68</v>
      </c>
      <c r="D168" s="12" t="s">
        <v>365</v>
      </c>
      <c r="E168" s="9" t="s">
        <v>49</v>
      </c>
      <c r="F168" s="12" t="s">
        <v>367</v>
      </c>
      <c r="G168" s="9" t="s">
        <v>974</v>
      </c>
      <c r="H168" s="40">
        <v>0.44</v>
      </c>
      <c r="I168" s="30">
        <f t="shared" si="3"/>
        <v>811</v>
      </c>
      <c r="J168" s="31"/>
      <c r="K168" s="9"/>
      <c r="L168" s="31"/>
      <c r="M168" s="9"/>
      <c r="N168" s="31">
        <f>411+400</f>
        <v>811</v>
      </c>
      <c r="O168" s="22">
        <v>1.3</v>
      </c>
      <c r="P168" s="22">
        <v>1.3</v>
      </c>
      <c r="Q168" s="22">
        <v>1.2</v>
      </c>
      <c r="R168" s="22">
        <v>1.2</v>
      </c>
      <c r="S168" s="31"/>
      <c r="T168" s="22"/>
      <c r="U168" s="22"/>
      <c r="V168" s="22"/>
      <c r="W168" s="22"/>
      <c r="X168" s="9" t="s">
        <v>1280</v>
      </c>
      <c r="Y168" s="9" t="s">
        <v>758</v>
      </c>
      <c r="Z168" s="9" t="s">
        <v>763</v>
      </c>
      <c r="AA168" s="9" t="s">
        <v>760</v>
      </c>
      <c r="AB168" s="9" t="s">
        <v>759</v>
      </c>
    </row>
    <row r="169" spans="1:28" s="1" customFormat="1" hidden="1" x14ac:dyDescent="0.3">
      <c r="A169" s="2">
        <v>165</v>
      </c>
      <c r="B169" s="4" t="s">
        <v>129</v>
      </c>
      <c r="C169" s="4" t="s">
        <v>130</v>
      </c>
      <c r="D169" s="12" t="s">
        <v>131</v>
      </c>
      <c r="E169" s="4" t="s">
        <v>132</v>
      </c>
      <c r="F169" s="12" t="s">
        <v>133</v>
      </c>
      <c r="G169" s="4" t="s">
        <v>135</v>
      </c>
      <c r="H169" s="39">
        <v>4.3499999999999996</v>
      </c>
      <c r="I169" s="30">
        <f t="shared" si="3"/>
        <v>4484</v>
      </c>
      <c r="J169" s="30"/>
      <c r="K169" s="3"/>
      <c r="L169" s="30"/>
      <c r="M169" s="3"/>
      <c r="N169" s="35">
        <f>2255+2229</f>
        <v>4484</v>
      </c>
      <c r="O169" s="21">
        <v>1.3</v>
      </c>
      <c r="P169" s="21">
        <v>1.7</v>
      </c>
      <c r="Q169" s="21">
        <v>1.5</v>
      </c>
      <c r="R169" s="21">
        <v>2.2000000000000002</v>
      </c>
      <c r="S169" s="35"/>
      <c r="T169" s="21"/>
      <c r="U169" s="21"/>
      <c r="V169" s="21"/>
      <c r="W169" s="3"/>
      <c r="X169" s="3" t="s">
        <v>1281</v>
      </c>
      <c r="Y169" s="3" t="s">
        <v>1218</v>
      </c>
      <c r="Z169" s="3" t="s">
        <v>763</v>
      </c>
      <c r="AA169" s="3" t="s">
        <v>760</v>
      </c>
      <c r="AB169" s="3" t="s">
        <v>764</v>
      </c>
    </row>
    <row r="170" spans="1:28" s="1" customFormat="1" hidden="1" x14ac:dyDescent="0.3">
      <c r="A170" s="2">
        <v>166</v>
      </c>
      <c r="B170" s="4" t="s">
        <v>129</v>
      </c>
      <c r="C170" s="4" t="s">
        <v>132</v>
      </c>
      <c r="D170" s="12" t="s">
        <v>137</v>
      </c>
      <c r="E170" s="4" t="s">
        <v>177</v>
      </c>
      <c r="F170" s="12" t="s">
        <v>134</v>
      </c>
      <c r="G170" s="4" t="s">
        <v>136</v>
      </c>
      <c r="H170" s="39" t="s">
        <v>1278</v>
      </c>
      <c r="I170" s="30">
        <f t="shared" si="3"/>
        <v>3037</v>
      </c>
      <c r="J170" s="30"/>
      <c r="K170" s="3"/>
      <c r="L170" s="30"/>
      <c r="M170" s="3"/>
      <c r="N170" s="35"/>
      <c r="O170" s="21"/>
      <c r="P170" s="21"/>
      <c r="Q170" s="21"/>
      <c r="R170" s="21"/>
      <c r="S170" s="35">
        <f>1493+1544</f>
        <v>3037</v>
      </c>
      <c r="T170" s="21">
        <v>2.5</v>
      </c>
      <c r="U170" s="21">
        <v>3</v>
      </c>
      <c r="V170" s="21">
        <v>1.5</v>
      </c>
      <c r="W170" s="3">
        <v>1.8</v>
      </c>
      <c r="X170" s="3"/>
      <c r="Y170" s="3" t="s">
        <v>1219</v>
      </c>
      <c r="Z170" s="3" t="s">
        <v>837</v>
      </c>
      <c r="AA170" s="3"/>
      <c r="AB170" s="3"/>
    </row>
    <row r="171" spans="1:28" s="1" customFormat="1" hidden="1" x14ac:dyDescent="0.3">
      <c r="A171" s="2">
        <v>167</v>
      </c>
      <c r="B171" s="10" t="s">
        <v>67</v>
      </c>
      <c r="C171" s="9" t="s">
        <v>15</v>
      </c>
      <c r="D171" s="12" t="s">
        <v>355</v>
      </c>
      <c r="E171" s="4" t="s">
        <v>1222</v>
      </c>
      <c r="F171" s="12" t="s">
        <v>1220</v>
      </c>
      <c r="G171" s="4"/>
      <c r="H171" s="39">
        <v>0.94</v>
      </c>
      <c r="I171" s="30">
        <f t="shared" si="3"/>
        <v>704</v>
      </c>
      <c r="J171" s="30"/>
      <c r="K171" s="3"/>
      <c r="L171" s="30"/>
      <c r="M171" s="3"/>
      <c r="N171" s="35"/>
      <c r="O171" s="21"/>
      <c r="P171" s="21"/>
      <c r="Q171" s="21"/>
      <c r="R171" s="21"/>
      <c r="S171" s="35">
        <f>333+371</f>
        <v>704</v>
      </c>
      <c r="T171" s="21">
        <v>2</v>
      </c>
      <c r="U171" s="21">
        <v>2</v>
      </c>
      <c r="V171" s="21">
        <v>2</v>
      </c>
      <c r="W171" s="3">
        <v>2</v>
      </c>
      <c r="X171" s="3" t="s">
        <v>1280</v>
      </c>
      <c r="Y171" s="3" t="s">
        <v>760</v>
      </c>
      <c r="Z171" s="3" t="s">
        <v>759</v>
      </c>
      <c r="AA171" s="3"/>
      <c r="AB171" s="3"/>
    </row>
    <row r="172" spans="1:28" s="1" customFormat="1" hidden="1" x14ac:dyDescent="0.3">
      <c r="A172" s="2">
        <v>168</v>
      </c>
      <c r="B172" s="10" t="s">
        <v>67</v>
      </c>
      <c r="C172" s="9" t="s">
        <v>1223</v>
      </c>
      <c r="D172" s="12" t="s">
        <v>1221</v>
      </c>
      <c r="E172" s="9" t="s">
        <v>76</v>
      </c>
      <c r="F172" s="12" t="s">
        <v>356</v>
      </c>
      <c r="G172" s="9"/>
      <c r="H172" s="40" t="s">
        <v>1278</v>
      </c>
      <c r="I172" s="30">
        <f t="shared" si="3"/>
        <v>478</v>
      </c>
      <c r="J172" s="31"/>
      <c r="K172" s="9"/>
      <c r="L172" s="31"/>
      <c r="M172" s="9"/>
      <c r="N172" s="31">
        <f>245+233</f>
        <v>478</v>
      </c>
      <c r="O172" s="22">
        <v>1.5</v>
      </c>
      <c r="P172" s="22">
        <v>1.5</v>
      </c>
      <c r="Q172" s="22">
        <v>2</v>
      </c>
      <c r="R172" s="22">
        <v>2</v>
      </c>
      <c r="S172" s="31"/>
      <c r="T172" s="22"/>
      <c r="U172" s="22"/>
      <c r="V172" s="22"/>
      <c r="W172" s="22"/>
      <c r="X172" s="9"/>
      <c r="Y172" s="9" t="s">
        <v>762</v>
      </c>
      <c r="Z172" s="9" t="s">
        <v>763</v>
      </c>
      <c r="AA172" s="9" t="s">
        <v>760</v>
      </c>
      <c r="AB172" s="9" t="s">
        <v>763</v>
      </c>
    </row>
    <row r="173" spans="1:28" s="1" customFormat="1" hidden="1" x14ac:dyDescent="0.3">
      <c r="A173" s="2">
        <v>169</v>
      </c>
      <c r="B173" s="10" t="s">
        <v>467</v>
      </c>
      <c r="C173" s="9" t="s">
        <v>15</v>
      </c>
      <c r="D173" s="12" t="s">
        <v>658</v>
      </c>
      <c r="E173" s="9" t="s">
        <v>67</v>
      </c>
      <c r="F173" s="12" t="s">
        <v>657</v>
      </c>
      <c r="G173" s="17" t="s">
        <v>1418</v>
      </c>
      <c r="H173" s="40">
        <v>0.55000000000000004</v>
      </c>
      <c r="I173" s="30">
        <f t="shared" si="3"/>
        <v>468</v>
      </c>
      <c r="J173" s="31"/>
      <c r="K173" s="9"/>
      <c r="L173" s="31"/>
      <c r="M173" s="9"/>
      <c r="N173" s="31">
        <f>233+235</f>
        <v>468</v>
      </c>
      <c r="O173" s="22">
        <v>1.5</v>
      </c>
      <c r="P173" s="22">
        <v>1.5</v>
      </c>
      <c r="Q173" s="22">
        <v>2</v>
      </c>
      <c r="R173" s="22">
        <v>2</v>
      </c>
      <c r="S173" s="31"/>
      <c r="T173" s="22"/>
      <c r="U173" s="22"/>
      <c r="V173" s="22"/>
      <c r="W173" s="22"/>
      <c r="X173" s="9" t="s">
        <v>1295</v>
      </c>
      <c r="Y173" s="9" t="s">
        <v>762</v>
      </c>
      <c r="Z173" s="9" t="s">
        <v>763</v>
      </c>
      <c r="AA173" s="9" t="s">
        <v>760</v>
      </c>
      <c r="AB173" s="9" t="s">
        <v>763</v>
      </c>
    </row>
    <row r="174" spans="1:28" s="1" customFormat="1" hidden="1" x14ac:dyDescent="0.3">
      <c r="A174" s="2">
        <v>170</v>
      </c>
      <c r="B174" s="4" t="s">
        <v>76</v>
      </c>
      <c r="C174" s="4" t="s">
        <v>15</v>
      </c>
      <c r="D174" s="12" t="s">
        <v>353</v>
      </c>
      <c r="E174" s="4" t="s">
        <v>68</v>
      </c>
      <c r="F174" s="12" t="s">
        <v>354</v>
      </c>
      <c r="G174" s="4" t="s">
        <v>969</v>
      </c>
      <c r="H174" s="39">
        <v>0.59</v>
      </c>
      <c r="I174" s="30">
        <f t="shared" si="3"/>
        <v>1097</v>
      </c>
      <c r="J174" s="30"/>
      <c r="K174" s="3"/>
      <c r="L174" s="30"/>
      <c r="M174" s="3"/>
      <c r="N174" s="35">
        <f>546+551</f>
        <v>1097</v>
      </c>
      <c r="O174" s="21">
        <v>1.7</v>
      </c>
      <c r="P174" s="21">
        <v>1.7</v>
      </c>
      <c r="Q174" s="21">
        <v>1.3</v>
      </c>
      <c r="R174" s="21">
        <v>1.3</v>
      </c>
      <c r="S174" s="35"/>
      <c r="T174" s="21"/>
      <c r="U174" s="21"/>
      <c r="V174" s="21"/>
      <c r="W174" s="3"/>
      <c r="X174" s="3" t="s">
        <v>1280</v>
      </c>
      <c r="Y174" s="3" t="s">
        <v>762</v>
      </c>
      <c r="Z174" s="3" t="s">
        <v>763</v>
      </c>
      <c r="AA174" s="3" t="s">
        <v>760</v>
      </c>
      <c r="AB174" s="3" t="s">
        <v>763</v>
      </c>
    </row>
    <row r="175" spans="1:28" s="1" customFormat="1" hidden="1" x14ac:dyDescent="0.3">
      <c r="A175" s="2">
        <v>171</v>
      </c>
      <c r="B175" s="4" t="s">
        <v>1068</v>
      </c>
      <c r="C175" s="9" t="s">
        <v>13</v>
      </c>
      <c r="D175" s="12" t="s">
        <v>139</v>
      </c>
      <c r="E175" s="9" t="s">
        <v>32</v>
      </c>
      <c r="F175" s="12" t="s">
        <v>482</v>
      </c>
      <c r="G175" s="9" t="s">
        <v>1069</v>
      </c>
      <c r="H175" s="40">
        <v>1.87</v>
      </c>
      <c r="I175" s="30">
        <f t="shared" si="3"/>
        <v>1104</v>
      </c>
      <c r="J175" s="31"/>
      <c r="K175" s="9"/>
      <c r="L175" s="31"/>
      <c r="M175" s="9"/>
      <c r="N175" s="31"/>
      <c r="O175" s="22"/>
      <c r="P175" s="22"/>
      <c r="Q175" s="22"/>
      <c r="R175" s="22"/>
      <c r="S175" s="31">
        <f>441+663</f>
        <v>1104</v>
      </c>
      <c r="T175" s="22">
        <v>3</v>
      </c>
      <c r="U175" s="22">
        <v>4.5</v>
      </c>
      <c r="V175" s="22">
        <v>1.8</v>
      </c>
      <c r="W175" s="22">
        <v>3.3</v>
      </c>
      <c r="X175" s="9" t="s">
        <v>1295</v>
      </c>
      <c r="Y175" s="9" t="s">
        <v>1225</v>
      </c>
      <c r="Z175" s="9" t="s">
        <v>1224</v>
      </c>
      <c r="AA175" s="9"/>
      <c r="AB175" s="9"/>
    </row>
    <row r="176" spans="1:28" s="1" customFormat="1" hidden="1" x14ac:dyDescent="0.3">
      <c r="A176" s="2">
        <v>172</v>
      </c>
      <c r="B176" s="4" t="s">
        <v>1066</v>
      </c>
      <c r="C176" s="9" t="s">
        <v>357</v>
      </c>
      <c r="D176" s="12" t="s">
        <v>480</v>
      </c>
      <c r="E176" s="9" t="s">
        <v>10</v>
      </c>
      <c r="F176" s="12" t="s">
        <v>481</v>
      </c>
      <c r="G176" s="9" t="s">
        <v>1067</v>
      </c>
      <c r="H176" s="40">
        <v>2.0099999999999998</v>
      </c>
      <c r="I176" s="30">
        <f t="shared" si="3"/>
        <v>1330</v>
      </c>
      <c r="J176" s="31"/>
      <c r="K176" s="9"/>
      <c r="L176" s="31"/>
      <c r="M176" s="9"/>
      <c r="N176" s="31"/>
      <c r="O176" s="22"/>
      <c r="P176" s="22"/>
      <c r="Q176" s="22"/>
      <c r="R176" s="22"/>
      <c r="S176" s="31">
        <f>665+665</f>
        <v>1330</v>
      </c>
      <c r="T176" s="22">
        <v>2.5</v>
      </c>
      <c r="U176" s="22">
        <v>3.5</v>
      </c>
      <c r="V176" s="22">
        <v>1.8</v>
      </c>
      <c r="W176" s="22">
        <v>3</v>
      </c>
      <c r="X176" s="9" t="s">
        <v>1297</v>
      </c>
      <c r="Y176" s="9" t="s">
        <v>1226</v>
      </c>
      <c r="Z176" s="9" t="s">
        <v>1209</v>
      </c>
      <c r="AA176" s="9"/>
      <c r="AB176" s="9"/>
    </row>
    <row r="177" spans="1:28" s="1" customFormat="1" hidden="1" x14ac:dyDescent="0.3">
      <c r="A177" s="2">
        <v>173</v>
      </c>
      <c r="B177" s="4" t="s">
        <v>1064</v>
      </c>
      <c r="C177" s="9" t="s">
        <v>423</v>
      </c>
      <c r="D177" s="12" t="s">
        <v>479</v>
      </c>
      <c r="E177" s="9" t="s">
        <v>357</v>
      </c>
      <c r="F177" s="12" t="s">
        <v>480</v>
      </c>
      <c r="G177" s="9" t="s">
        <v>1065</v>
      </c>
      <c r="H177" s="40">
        <v>0.22</v>
      </c>
      <c r="I177" s="30">
        <f t="shared" si="3"/>
        <v>364</v>
      </c>
      <c r="J177" s="31"/>
      <c r="K177" s="9"/>
      <c r="L177" s="31"/>
      <c r="M177" s="9"/>
      <c r="N177" s="31"/>
      <c r="O177" s="22"/>
      <c r="P177" s="22"/>
      <c r="Q177" s="22"/>
      <c r="R177" s="22"/>
      <c r="S177" s="31">
        <f>180+184</f>
        <v>364</v>
      </c>
      <c r="T177" s="22">
        <v>5.5</v>
      </c>
      <c r="U177" s="22">
        <v>5.5</v>
      </c>
      <c r="V177" s="22">
        <v>4</v>
      </c>
      <c r="W177" s="22">
        <v>4</v>
      </c>
      <c r="X177" s="9" t="s">
        <v>1297</v>
      </c>
      <c r="Y177" s="9" t="s">
        <v>1199</v>
      </c>
      <c r="Z177" s="9" t="s">
        <v>763</v>
      </c>
      <c r="AA177" s="9"/>
      <c r="AB177" s="9"/>
    </row>
    <row r="178" spans="1:28" s="1" customFormat="1" hidden="1" x14ac:dyDescent="0.3">
      <c r="A178" s="2">
        <v>174</v>
      </c>
      <c r="B178" s="10" t="s">
        <v>35</v>
      </c>
      <c r="C178" s="9" t="s">
        <v>16</v>
      </c>
      <c r="D178" s="9" t="s">
        <v>371</v>
      </c>
      <c r="E178" s="9" t="s">
        <v>373</v>
      </c>
      <c r="F178" s="9" t="s">
        <v>372</v>
      </c>
      <c r="G178" s="9" t="s">
        <v>976</v>
      </c>
      <c r="H178" s="40">
        <v>1.92</v>
      </c>
      <c r="I178" s="30">
        <f t="shared" si="3"/>
        <v>1052</v>
      </c>
      <c r="J178" s="31"/>
      <c r="K178" s="9"/>
      <c r="L178" s="31"/>
      <c r="M178" s="9"/>
      <c r="N178" s="31">
        <f>526+526</f>
        <v>1052</v>
      </c>
      <c r="O178" s="22">
        <v>1.5</v>
      </c>
      <c r="P178" s="22">
        <v>1.5</v>
      </c>
      <c r="Q178" s="22">
        <v>1.5</v>
      </c>
      <c r="R178" s="22">
        <v>1.5</v>
      </c>
      <c r="S178" s="31"/>
      <c r="T178" s="22"/>
      <c r="U178" s="22"/>
      <c r="V178" s="22"/>
      <c r="W178" s="22"/>
      <c r="X178" s="9" t="s">
        <v>1280</v>
      </c>
      <c r="Y178" s="9" t="s">
        <v>760</v>
      </c>
      <c r="Z178" s="9" t="s">
        <v>763</v>
      </c>
      <c r="AA178" s="9" t="s">
        <v>765</v>
      </c>
      <c r="AB178" s="9" t="s">
        <v>763</v>
      </c>
    </row>
    <row r="179" spans="1:28" s="1" customFormat="1" hidden="1" x14ac:dyDescent="0.3">
      <c r="A179" s="2">
        <v>175</v>
      </c>
      <c r="B179" s="10" t="s">
        <v>271</v>
      </c>
      <c r="C179" s="9" t="s">
        <v>55</v>
      </c>
      <c r="D179" s="9" t="s">
        <v>377</v>
      </c>
      <c r="E179" s="9" t="s">
        <v>379</v>
      </c>
      <c r="F179" s="9" t="s">
        <v>380</v>
      </c>
      <c r="G179" s="9" t="s">
        <v>977</v>
      </c>
      <c r="H179" s="40">
        <v>0.4</v>
      </c>
      <c r="I179" s="30">
        <f t="shared" si="3"/>
        <v>258</v>
      </c>
      <c r="J179" s="31"/>
      <c r="K179" s="9"/>
      <c r="L179" s="31"/>
      <c r="M179" s="9"/>
      <c r="N179" s="31"/>
      <c r="O179" s="22"/>
      <c r="P179" s="22"/>
      <c r="Q179" s="22"/>
      <c r="R179" s="22"/>
      <c r="S179" s="31">
        <f>198+60</f>
        <v>258</v>
      </c>
      <c r="T179" s="22">
        <v>2.5</v>
      </c>
      <c r="U179" s="22">
        <v>2.5</v>
      </c>
      <c r="V179" s="22">
        <v>2.5</v>
      </c>
      <c r="W179" s="22">
        <v>2.5</v>
      </c>
      <c r="X179" s="9" t="s">
        <v>1297</v>
      </c>
      <c r="Y179" s="9" t="s">
        <v>1227</v>
      </c>
      <c r="Z179" s="9" t="s">
        <v>763</v>
      </c>
      <c r="AA179" s="9"/>
      <c r="AB179" s="9"/>
    </row>
    <row r="180" spans="1:28" s="1" customFormat="1" hidden="1" x14ac:dyDescent="0.3">
      <c r="A180" s="2">
        <v>176</v>
      </c>
      <c r="B180" s="10" t="s">
        <v>55</v>
      </c>
      <c r="C180" s="9" t="s">
        <v>376</v>
      </c>
      <c r="D180" s="9" t="s">
        <v>377</v>
      </c>
      <c r="E180" s="9" t="s">
        <v>34</v>
      </c>
      <c r="F180" s="9" t="s">
        <v>378</v>
      </c>
      <c r="G180" s="9" t="s">
        <v>753</v>
      </c>
      <c r="H180" s="40">
        <v>1.49</v>
      </c>
      <c r="I180" s="30">
        <f t="shared" si="3"/>
        <v>917</v>
      </c>
      <c r="J180" s="31"/>
      <c r="K180" s="9"/>
      <c r="L180" s="31"/>
      <c r="M180" s="9"/>
      <c r="N180" s="31"/>
      <c r="O180" s="22"/>
      <c r="P180" s="22"/>
      <c r="Q180" s="22"/>
      <c r="R180" s="22"/>
      <c r="S180" s="31">
        <f>274+283+360</f>
        <v>917</v>
      </c>
      <c r="T180" s="22">
        <v>1.8</v>
      </c>
      <c r="U180" s="22">
        <v>2.5</v>
      </c>
      <c r="V180" s="22">
        <v>1.8</v>
      </c>
      <c r="W180" s="22">
        <v>2.5</v>
      </c>
      <c r="X180" s="9" t="s">
        <v>1297</v>
      </c>
      <c r="Y180" s="9" t="s">
        <v>1228</v>
      </c>
      <c r="Z180" s="9" t="s">
        <v>763</v>
      </c>
      <c r="AA180" s="9"/>
      <c r="AB180" s="9"/>
    </row>
    <row r="181" spans="1:28" s="1" customFormat="1" hidden="1" x14ac:dyDescent="0.3">
      <c r="A181" s="2">
        <v>177</v>
      </c>
      <c r="B181" s="10" t="s">
        <v>852</v>
      </c>
      <c r="C181" s="9" t="s">
        <v>872</v>
      </c>
      <c r="D181" s="9" t="s">
        <v>1273</v>
      </c>
      <c r="E181" s="9" t="s">
        <v>1275</v>
      </c>
      <c r="F181" s="9" t="s">
        <v>1274</v>
      </c>
      <c r="G181" s="9"/>
      <c r="H181" s="40" t="s">
        <v>1278</v>
      </c>
      <c r="I181" s="30">
        <f t="shared" si="3"/>
        <v>206</v>
      </c>
      <c r="J181" s="31"/>
      <c r="K181" s="9"/>
      <c r="L181" s="31"/>
      <c r="M181" s="9"/>
      <c r="N181" s="37">
        <f>100+106</f>
        <v>206</v>
      </c>
      <c r="O181" s="22">
        <v>1.2</v>
      </c>
      <c r="P181" s="22">
        <v>1.2</v>
      </c>
      <c r="Q181" s="22">
        <v>1.3</v>
      </c>
      <c r="R181" s="22">
        <v>1.3</v>
      </c>
      <c r="S181" s="31"/>
      <c r="T181" s="22"/>
      <c r="U181" s="22"/>
      <c r="V181" s="22"/>
      <c r="W181" s="22"/>
      <c r="X181" s="9"/>
      <c r="Y181" s="9" t="s">
        <v>758</v>
      </c>
      <c r="Z181" s="9" t="s">
        <v>763</v>
      </c>
      <c r="AA181" s="9" t="s">
        <v>760</v>
      </c>
      <c r="AB181" s="9" t="s">
        <v>759</v>
      </c>
    </row>
    <row r="182" spans="1:28" s="1" customFormat="1" hidden="1" x14ac:dyDescent="0.3">
      <c r="A182" s="2">
        <v>178</v>
      </c>
      <c r="B182" s="19" t="s">
        <v>754</v>
      </c>
      <c r="C182" s="9" t="s">
        <v>38</v>
      </c>
      <c r="D182" s="9" t="s">
        <v>381</v>
      </c>
      <c r="E182" s="9" t="s">
        <v>382</v>
      </c>
      <c r="F182" s="9" t="s">
        <v>383</v>
      </c>
      <c r="G182" s="9" t="s">
        <v>978</v>
      </c>
      <c r="H182" s="40">
        <v>0.42</v>
      </c>
      <c r="I182" s="30">
        <f t="shared" si="3"/>
        <v>418</v>
      </c>
      <c r="J182" s="31"/>
      <c r="K182" s="9"/>
      <c r="L182" s="31"/>
      <c r="M182" s="9"/>
      <c r="N182" s="31"/>
      <c r="O182" s="22"/>
      <c r="P182" s="22"/>
      <c r="Q182" s="22"/>
      <c r="R182" s="22"/>
      <c r="S182" s="31">
        <v>418</v>
      </c>
      <c r="T182" s="22">
        <v>2</v>
      </c>
      <c r="U182" s="22">
        <v>2</v>
      </c>
      <c r="V182" s="22">
        <v>2</v>
      </c>
      <c r="W182" s="22">
        <v>2</v>
      </c>
      <c r="X182" s="9" t="s">
        <v>1407</v>
      </c>
      <c r="Y182" s="9" t="s">
        <v>1229</v>
      </c>
      <c r="Z182" s="9" t="s">
        <v>763</v>
      </c>
      <c r="AA182" s="9"/>
      <c r="AB182" s="9"/>
    </row>
    <row r="183" spans="1:28" s="1" customFormat="1" hidden="1" x14ac:dyDescent="0.3">
      <c r="A183" s="2">
        <v>179</v>
      </c>
      <c r="B183" s="10" t="s">
        <v>466</v>
      </c>
      <c r="C183" s="9" t="s">
        <v>12</v>
      </c>
      <c r="D183" s="12" t="s">
        <v>654</v>
      </c>
      <c r="E183" s="9" t="s">
        <v>656</v>
      </c>
      <c r="F183" s="12" t="s">
        <v>655</v>
      </c>
      <c r="G183" s="9" t="s">
        <v>1164</v>
      </c>
      <c r="H183" s="40">
        <v>0.53</v>
      </c>
      <c r="I183" s="30">
        <f t="shared" si="3"/>
        <v>95</v>
      </c>
      <c r="J183" s="31"/>
      <c r="K183" s="9"/>
      <c r="L183" s="31"/>
      <c r="M183" s="9"/>
      <c r="N183" s="31">
        <v>95</v>
      </c>
      <c r="O183" s="22">
        <v>1.5</v>
      </c>
      <c r="P183" s="22">
        <v>1.5</v>
      </c>
      <c r="Q183" s="22">
        <v>1.5</v>
      </c>
      <c r="R183" s="22">
        <v>1.5</v>
      </c>
      <c r="S183" s="31"/>
      <c r="T183" s="22"/>
      <c r="U183" s="22"/>
      <c r="V183" s="22"/>
      <c r="W183" s="22"/>
      <c r="X183" s="9" t="s">
        <v>1293</v>
      </c>
      <c r="Y183" s="9" t="s">
        <v>762</v>
      </c>
      <c r="Z183" s="9" t="s">
        <v>763</v>
      </c>
      <c r="AA183" s="9" t="s">
        <v>760</v>
      </c>
      <c r="AB183" s="9" t="s">
        <v>763</v>
      </c>
    </row>
    <row r="184" spans="1:28" s="1" customFormat="1" hidden="1" x14ac:dyDescent="0.3">
      <c r="A184" s="2">
        <v>180</v>
      </c>
      <c r="B184" s="10" t="s">
        <v>26</v>
      </c>
      <c r="C184" s="9" t="s">
        <v>374</v>
      </c>
      <c r="D184" s="9" t="s">
        <v>262</v>
      </c>
      <c r="E184" s="9" t="s">
        <v>27</v>
      </c>
      <c r="F184" s="9" t="s">
        <v>375</v>
      </c>
      <c r="G184" s="9"/>
      <c r="H184" s="40">
        <v>1.42</v>
      </c>
      <c r="I184" s="30">
        <f t="shared" si="3"/>
        <v>40</v>
      </c>
      <c r="J184" s="31"/>
      <c r="K184" s="9"/>
      <c r="L184" s="31"/>
      <c r="M184" s="9"/>
      <c r="N184" s="31"/>
      <c r="O184" s="22"/>
      <c r="P184" s="22"/>
      <c r="Q184" s="22"/>
      <c r="R184" s="22"/>
      <c r="S184" s="31">
        <v>40</v>
      </c>
      <c r="T184" s="22">
        <v>3</v>
      </c>
      <c r="U184" s="22">
        <v>3</v>
      </c>
      <c r="V184" s="22">
        <v>1.8</v>
      </c>
      <c r="W184" s="22">
        <v>1.8</v>
      </c>
      <c r="X184" s="9" t="s">
        <v>1134</v>
      </c>
      <c r="Y184" s="9" t="s">
        <v>1199</v>
      </c>
      <c r="Z184" s="9" t="s">
        <v>763</v>
      </c>
      <c r="AA184" s="9"/>
      <c r="AB184" s="9"/>
    </row>
    <row r="185" spans="1:28" s="1" customFormat="1" hidden="1" x14ac:dyDescent="0.3">
      <c r="A185" s="2">
        <v>181</v>
      </c>
      <c r="B185" s="4" t="s">
        <v>19</v>
      </c>
      <c r="C185" s="4" t="s">
        <v>891</v>
      </c>
      <c r="D185" s="12" t="s">
        <v>250</v>
      </c>
      <c r="E185" s="4" t="s">
        <v>892</v>
      </c>
      <c r="F185" s="12" t="s">
        <v>251</v>
      </c>
      <c r="G185" s="4" t="s">
        <v>893</v>
      </c>
      <c r="H185" s="39">
        <v>21.77</v>
      </c>
      <c r="I185" s="30">
        <f t="shared" si="3"/>
        <v>5144</v>
      </c>
      <c r="J185" s="30"/>
      <c r="K185" s="3"/>
      <c r="L185" s="30"/>
      <c r="M185" s="3"/>
      <c r="N185" s="35">
        <f>1526+2855+511+252</f>
        <v>5144</v>
      </c>
      <c r="O185" s="21">
        <v>1.5</v>
      </c>
      <c r="P185" s="21">
        <v>2.2000000000000002</v>
      </c>
      <c r="Q185" s="21">
        <v>1</v>
      </c>
      <c r="R185" s="21">
        <v>2.8</v>
      </c>
      <c r="S185" s="35"/>
      <c r="T185" s="21"/>
      <c r="U185" s="21"/>
      <c r="V185" s="21"/>
      <c r="W185" s="3"/>
      <c r="X185" s="3" t="s">
        <v>1280</v>
      </c>
      <c r="Y185" s="3" t="s">
        <v>1232</v>
      </c>
      <c r="Z185" s="3" t="s">
        <v>1194</v>
      </c>
      <c r="AA185" s="3" t="s">
        <v>760</v>
      </c>
      <c r="AB185" s="3" t="s">
        <v>1231</v>
      </c>
    </row>
    <row r="186" spans="1:28" x14ac:dyDescent="0.3">
      <c r="A186" s="50">
        <v>182</v>
      </c>
      <c r="B186" s="57" t="s">
        <v>19</v>
      </c>
      <c r="C186" s="57" t="s">
        <v>893</v>
      </c>
      <c r="D186" s="58" t="s">
        <v>894</v>
      </c>
      <c r="E186" s="57"/>
      <c r="F186" s="58" t="s">
        <v>252</v>
      </c>
      <c r="G186" s="57" t="s">
        <v>895</v>
      </c>
      <c r="H186" s="59" t="s">
        <v>1278</v>
      </c>
      <c r="I186" s="53">
        <f t="shared" si="3"/>
        <v>277</v>
      </c>
      <c r="J186" s="53"/>
      <c r="K186" s="54"/>
      <c r="L186" s="53"/>
      <c r="M186" s="54"/>
      <c r="N186" s="60"/>
      <c r="O186" s="61"/>
      <c r="P186" s="61"/>
      <c r="Q186" s="61"/>
      <c r="R186" s="61"/>
      <c r="S186" s="60">
        <f>208+69</f>
        <v>277</v>
      </c>
      <c r="T186" s="61">
        <v>3</v>
      </c>
      <c r="U186" s="61">
        <v>3</v>
      </c>
      <c r="V186" s="61">
        <v>3</v>
      </c>
      <c r="W186" s="54">
        <v>3</v>
      </c>
      <c r="X186" s="54"/>
      <c r="Y186" s="54" t="s">
        <v>760</v>
      </c>
      <c r="Z186" s="54" t="s">
        <v>759</v>
      </c>
      <c r="AA186" s="54"/>
      <c r="AB186" s="54"/>
    </row>
    <row r="187" spans="1:28" s="1" customFormat="1" hidden="1" x14ac:dyDescent="0.3">
      <c r="A187" s="2">
        <v>183</v>
      </c>
      <c r="B187" s="4" t="s">
        <v>19</v>
      </c>
      <c r="C187" s="4" t="s">
        <v>896</v>
      </c>
      <c r="D187" s="12" t="s">
        <v>253</v>
      </c>
      <c r="E187" s="4"/>
      <c r="F187" s="12" t="s">
        <v>254</v>
      </c>
      <c r="G187" s="4" t="s">
        <v>892</v>
      </c>
      <c r="H187" s="39" t="s">
        <v>1278</v>
      </c>
      <c r="I187" s="30">
        <f t="shared" si="3"/>
        <v>226</v>
      </c>
      <c r="J187" s="30"/>
      <c r="K187" s="3"/>
      <c r="L187" s="30"/>
      <c r="M187" s="3"/>
      <c r="N187" s="35"/>
      <c r="O187" s="21"/>
      <c r="P187" s="21"/>
      <c r="Q187" s="21"/>
      <c r="R187" s="21"/>
      <c r="S187" s="35">
        <f>58+84+84</f>
        <v>226</v>
      </c>
      <c r="T187" s="21">
        <v>3</v>
      </c>
      <c r="U187" s="21">
        <v>3</v>
      </c>
      <c r="V187" s="21">
        <v>3</v>
      </c>
      <c r="W187" s="3">
        <v>3</v>
      </c>
      <c r="X187" s="3"/>
      <c r="Y187" s="3" t="s">
        <v>1210</v>
      </c>
      <c r="Z187" s="3" t="s">
        <v>764</v>
      </c>
      <c r="AA187" s="3"/>
      <c r="AB187" s="3"/>
    </row>
    <row r="188" spans="1:28" s="1" customFormat="1" hidden="1" x14ac:dyDescent="0.3">
      <c r="A188" s="2">
        <v>184</v>
      </c>
      <c r="B188" s="4" t="s">
        <v>19</v>
      </c>
      <c r="C188" s="4"/>
      <c r="D188" s="12" t="s">
        <v>254</v>
      </c>
      <c r="E188" s="4" t="s">
        <v>876</v>
      </c>
      <c r="F188" s="12" t="s">
        <v>255</v>
      </c>
      <c r="G188" s="4" t="s">
        <v>897</v>
      </c>
      <c r="H188" s="39" t="s">
        <v>1278</v>
      </c>
      <c r="I188" s="30">
        <f t="shared" si="3"/>
        <v>1296</v>
      </c>
      <c r="J188" s="30"/>
      <c r="K188" s="3"/>
      <c r="L188" s="30"/>
      <c r="M188" s="3"/>
      <c r="N188" s="35">
        <f>270+495+115+264+152</f>
        <v>1296</v>
      </c>
      <c r="O188" s="21">
        <v>1.5</v>
      </c>
      <c r="P188" s="21">
        <v>1.5</v>
      </c>
      <c r="Q188" s="21">
        <v>1.2</v>
      </c>
      <c r="R188" s="21">
        <v>1.2</v>
      </c>
      <c r="S188" s="35"/>
      <c r="T188" s="21"/>
      <c r="U188" s="21"/>
      <c r="V188" s="21"/>
      <c r="W188" s="3"/>
      <c r="X188" s="3"/>
      <c r="Y188" s="3" t="s">
        <v>1207</v>
      </c>
      <c r="Z188" s="3" t="s">
        <v>763</v>
      </c>
      <c r="AA188" s="3" t="s">
        <v>760</v>
      </c>
      <c r="AB188" s="3" t="s">
        <v>764</v>
      </c>
    </row>
    <row r="189" spans="1:28" s="1" customFormat="1" hidden="1" x14ac:dyDescent="0.3">
      <c r="A189" s="2">
        <v>185</v>
      </c>
      <c r="B189" s="4" t="s">
        <v>19</v>
      </c>
      <c r="C189" s="4" t="s">
        <v>898</v>
      </c>
      <c r="D189" s="12" t="s">
        <v>258</v>
      </c>
      <c r="E189" s="4" t="s">
        <v>899</v>
      </c>
      <c r="F189" s="12" t="s">
        <v>259</v>
      </c>
      <c r="G189" s="4" t="s">
        <v>900</v>
      </c>
      <c r="H189" s="39" t="s">
        <v>1278</v>
      </c>
      <c r="I189" s="30">
        <f t="shared" si="3"/>
        <v>66</v>
      </c>
      <c r="J189" s="30"/>
      <c r="K189" s="3"/>
      <c r="L189" s="30"/>
      <c r="M189" s="3"/>
      <c r="N189" s="35"/>
      <c r="O189" s="21"/>
      <c r="P189" s="21"/>
      <c r="Q189" s="21"/>
      <c r="R189" s="21"/>
      <c r="S189" s="35">
        <v>66</v>
      </c>
      <c r="T189" s="21">
        <v>3</v>
      </c>
      <c r="U189" s="21">
        <v>3</v>
      </c>
      <c r="V189" s="21">
        <v>3</v>
      </c>
      <c r="W189" s="3">
        <v>3</v>
      </c>
      <c r="X189" s="3"/>
      <c r="Y189" s="3" t="s">
        <v>760</v>
      </c>
      <c r="Z189" s="3" t="s">
        <v>759</v>
      </c>
      <c r="AA189" s="3"/>
      <c r="AB189" s="3"/>
    </row>
    <row r="190" spans="1:28" s="1" customFormat="1" hidden="1" x14ac:dyDescent="0.3">
      <c r="A190" s="2">
        <v>186</v>
      </c>
      <c r="B190" s="4" t="s">
        <v>19</v>
      </c>
      <c r="C190" s="4" t="s">
        <v>901</v>
      </c>
      <c r="D190" s="12" t="s">
        <v>256</v>
      </c>
      <c r="E190" s="4" t="s">
        <v>902</v>
      </c>
      <c r="F190" s="12" t="s">
        <v>257</v>
      </c>
      <c r="G190" s="4"/>
      <c r="H190" s="39" t="s">
        <v>1278</v>
      </c>
      <c r="I190" s="30">
        <f t="shared" si="3"/>
        <v>64</v>
      </c>
      <c r="J190" s="30"/>
      <c r="K190" s="3"/>
      <c r="L190" s="30"/>
      <c r="M190" s="3"/>
      <c r="N190" s="35"/>
      <c r="O190" s="21"/>
      <c r="P190" s="21"/>
      <c r="Q190" s="21"/>
      <c r="R190" s="21"/>
      <c r="S190" s="35">
        <v>64</v>
      </c>
      <c r="T190" s="21">
        <v>3</v>
      </c>
      <c r="U190" s="21">
        <v>3</v>
      </c>
      <c r="V190" s="21">
        <v>3</v>
      </c>
      <c r="W190" s="3">
        <v>3</v>
      </c>
      <c r="X190" s="3"/>
      <c r="Y190" s="3" t="s">
        <v>1199</v>
      </c>
      <c r="Z190" s="3" t="s">
        <v>763</v>
      </c>
      <c r="AA190" s="3"/>
      <c r="AB190" s="3"/>
    </row>
    <row r="191" spans="1:28" s="1" customFormat="1" hidden="1" x14ac:dyDescent="0.3">
      <c r="A191" s="2">
        <v>187</v>
      </c>
      <c r="B191" s="18" t="s">
        <v>236</v>
      </c>
      <c r="C191" s="4" t="s">
        <v>68</v>
      </c>
      <c r="D191" s="12" t="s">
        <v>337</v>
      </c>
      <c r="E191" s="4" t="s">
        <v>336</v>
      </c>
      <c r="F191" s="12" t="s">
        <v>338</v>
      </c>
      <c r="G191" s="4"/>
      <c r="H191" s="39">
        <v>0.53</v>
      </c>
      <c r="I191" s="30">
        <f t="shared" si="3"/>
        <v>735</v>
      </c>
      <c r="J191" s="30"/>
      <c r="K191" s="3"/>
      <c r="L191" s="30"/>
      <c r="M191" s="3"/>
      <c r="N191" s="35"/>
      <c r="O191" s="21"/>
      <c r="P191" s="21"/>
      <c r="Q191" s="21"/>
      <c r="R191" s="21"/>
      <c r="S191" s="35">
        <f>503+232</f>
        <v>735</v>
      </c>
      <c r="T191" s="21">
        <v>2</v>
      </c>
      <c r="U191" s="21">
        <v>2.5</v>
      </c>
      <c r="V191" s="21">
        <v>1.3</v>
      </c>
      <c r="W191" s="3">
        <v>2</v>
      </c>
      <c r="X191" s="3" t="s">
        <v>1280</v>
      </c>
      <c r="Y191" s="3" t="s">
        <v>760</v>
      </c>
      <c r="Z191" s="3" t="s">
        <v>759</v>
      </c>
      <c r="AA191" s="3"/>
      <c r="AB191" s="3"/>
    </row>
    <row r="192" spans="1:28" s="1" customFormat="1" hidden="1" x14ac:dyDescent="0.3">
      <c r="A192" s="2">
        <v>188</v>
      </c>
      <c r="B192" s="18" t="s">
        <v>237</v>
      </c>
      <c r="C192" s="4" t="s">
        <v>340</v>
      </c>
      <c r="D192" s="4" t="s">
        <v>725</v>
      </c>
      <c r="E192" s="4" t="s">
        <v>336</v>
      </c>
      <c r="F192" s="12" t="s">
        <v>339</v>
      </c>
      <c r="G192" s="4"/>
      <c r="H192" s="39">
        <v>0.21</v>
      </c>
      <c r="I192" s="30">
        <f t="shared" si="3"/>
        <v>207</v>
      </c>
      <c r="J192" s="30"/>
      <c r="K192" s="3"/>
      <c r="L192" s="30"/>
      <c r="M192" s="3"/>
      <c r="N192" s="35">
        <v>207</v>
      </c>
      <c r="O192" s="21">
        <v>2</v>
      </c>
      <c r="P192" s="21">
        <v>2</v>
      </c>
      <c r="Q192" s="21">
        <v>4</v>
      </c>
      <c r="R192" s="21">
        <v>4</v>
      </c>
      <c r="S192" s="35"/>
      <c r="T192" s="21"/>
      <c r="U192" s="21"/>
      <c r="V192" s="21"/>
      <c r="W192" s="3"/>
      <c r="X192" s="3" t="s">
        <v>1134</v>
      </c>
      <c r="Y192" s="3" t="s">
        <v>758</v>
      </c>
      <c r="Z192" s="3" t="s">
        <v>763</v>
      </c>
      <c r="AA192" s="3" t="s">
        <v>760</v>
      </c>
      <c r="AB192" s="3" t="s">
        <v>759</v>
      </c>
    </row>
    <row r="193" spans="1:28" s="1" customFormat="1" hidden="1" x14ac:dyDescent="0.3">
      <c r="A193" s="2">
        <v>189</v>
      </c>
      <c r="B193" s="4" t="s">
        <v>72</v>
      </c>
      <c r="C193" s="4" t="s">
        <v>68</v>
      </c>
      <c r="D193" s="12" t="s">
        <v>698</v>
      </c>
      <c r="E193" s="4" t="s">
        <v>352</v>
      </c>
      <c r="F193" s="12" t="s">
        <v>351</v>
      </c>
      <c r="G193" s="4" t="s">
        <v>968</v>
      </c>
      <c r="H193" s="39">
        <v>1.19</v>
      </c>
      <c r="I193" s="30">
        <f t="shared" si="3"/>
        <v>1154</v>
      </c>
      <c r="J193" s="30"/>
      <c r="K193" s="3"/>
      <c r="L193" s="30"/>
      <c r="M193" s="3"/>
      <c r="N193" s="35">
        <v>1154</v>
      </c>
      <c r="O193" s="21">
        <v>2</v>
      </c>
      <c r="P193" s="21">
        <v>2</v>
      </c>
      <c r="Q193" s="21">
        <v>1.5</v>
      </c>
      <c r="R193" s="21">
        <v>1.5</v>
      </c>
      <c r="S193" s="35"/>
      <c r="T193" s="21"/>
      <c r="U193" s="21"/>
      <c r="V193" s="21"/>
      <c r="W193" s="3"/>
      <c r="X193" s="3" t="s">
        <v>1280</v>
      </c>
      <c r="Y193" s="3" t="s">
        <v>1199</v>
      </c>
      <c r="Z193" s="3" t="s">
        <v>763</v>
      </c>
      <c r="AA193" s="3" t="s">
        <v>1230</v>
      </c>
      <c r="AB193" s="3" t="s">
        <v>759</v>
      </c>
    </row>
    <row r="194" spans="1:28" s="1" customFormat="1" hidden="1" x14ac:dyDescent="0.3">
      <c r="A194" s="2">
        <v>190</v>
      </c>
      <c r="B194" s="4" t="s">
        <v>74</v>
      </c>
      <c r="C194" s="4" t="s">
        <v>75</v>
      </c>
      <c r="D194" s="12" t="s">
        <v>350</v>
      </c>
      <c r="E194" s="4" t="s">
        <v>348</v>
      </c>
      <c r="F194" s="12" t="s">
        <v>349</v>
      </c>
      <c r="G194" s="4" t="s">
        <v>967</v>
      </c>
      <c r="H194" s="39">
        <v>1.17</v>
      </c>
      <c r="I194" s="30">
        <f t="shared" si="3"/>
        <v>1715</v>
      </c>
      <c r="J194" s="30"/>
      <c r="K194" s="3"/>
      <c r="L194" s="30"/>
      <c r="M194" s="3"/>
      <c r="N194" s="35">
        <f>847+868</f>
        <v>1715</v>
      </c>
      <c r="O194" s="21">
        <v>2.7</v>
      </c>
      <c r="P194" s="21">
        <v>2.7</v>
      </c>
      <c r="Q194" s="21">
        <v>1.3</v>
      </c>
      <c r="R194" s="21">
        <v>1.3</v>
      </c>
      <c r="S194" s="35"/>
      <c r="T194" s="21"/>
      <c r="U194" s="21"/>
      <c r="V194" s="21"/>
      <c r="W194" s="3"/>
      <c r="X194" s="3" t="s">
        <v>1291</v>
      </c>
      <c r="Y194" s="3" t="s">
        <v>1233</v>
      </c>
      <c r="Z194" s="3" t="s">
        <v>1197</v>
      </c>
      <c r="AA194" s="3" t="s">
        <v>879</v>
      </c>
      <c r="AB194" s="3" t="s">
        <v>1209</v>
      </c>
    </row>
    <row r="195" spans="1:28" s="1" customFormat="1" hidden="1" x14ac:dyDescent="0.3">
      <c r="A195" s="2">
        <v>191</v>
      </c>
      <c r="B195" s="4" t="s">
        <v>73</v>
      </c>
      <c r="C195" s="7" t="s">
        <v>68</v>
      </c>
      <c r="D195" s="12" t="s">
        <v>347</v>
      </c>
      <c r="E195" s="4" t="s">
        <v>345</v>
      </c>
      <c r="F195" s="12" t="s">
        <v>346</v>
      </c>
      <c r="G195" s="4" t="s">
        <v>966</v>
      </c>
      <c r="H195" s="39">
        <v>1.05</v>
      </c>
      <c r="I195" s="30">
        <f t="shared" si="3"/>
        <v>2050</v>
      </c>
      <c r="J195" s="30"/>
      <c r="K195" s="3"/>
      <c r="L195" s="30"/>
      <c r="M195" s="3"/>
      <c r="N195" s="35">
        <f>1036+1014</f>
        <v>2050</v>
      </c>
      <c r="O195" s="21">
        <v>3.8</v>
      </c>
      <c r="P195" s="21">
        <v>3.8</v>
      </c>
      <c r="Q195" s="21">
        <v>1.2</v>
      </c>
      <c r="R195" s="21">
        <v>1.2</v>
      </c>
      <c r="S195" s="35"/>
      <c r="T195" s="21"/>
      <c r="U195" s="21"/>
      <c r="V195" s="21"/>
      <c r="W195" s="3"/>
      <c r="X195" s="3" t="s">
        <v>1280</v>
      </c>
      <c r="Y195" s="3" t="s">
        <v>1199</v>
      </c>
      <c r="Z195" s="3" t="s">
        <v>763</v>
      </c>
      <c r="AA195" s="3" t="s">
        <v>760</v>
      </c>
      <c r="AB195" s="3" t="s">
        <v>759</v>
      </c>
    </row>
    <row r="196" spans="1:28" s="1" customFormat="1" hidden="1" x14ac:dyDescent="0.3">
      <c r="A196" s="2">
        <v>192</v>
      </c>
      <c r="B196" s="4" t="s">
        <v>238</v>
      </c>
      <c r="C196" s="4" t="s">
        <v>10</v>
      </c>
      <c r="D196" s="12" t="s">
        <v>343</v>
      </c>
      <c r="E196" s="4" t="s">
        <v>345</v>
      </c>
      <c r="F196" s="12" t="s">
        <v>344</v>
      </c>
      <c r="G196" s="4" t="s">
        <v>965</v>
      </c>
      <c r="H196" s="39">
        <v>1.65</v>
      </c>
      <c r="I196" s="30">
        <f t="shared" si="3"/>
        <v>585</v>
      </c>
      <c r="J196" s="30"/>
      <c r="K196" s="3"/>
      <c r="L196" s="30"/>
      <c r="M196" s="3"/>
      <c r="N196" s="35">
        <v>585</v>
      </c>
      <c r="O196" s="21">
        <v>2</v>
      </c>
      <c r="P196" s="21">
        <v>2</v>
      </c>
      <c r="Q196" s="21">
        <v>1.3</v>
      </c>
      <c r="R196" s="21">
        <v>1.3</v>
      </c>
      <c r="S196" s="35"/>
      <c r="T196" s="21"/>
      <c r="U196" s="21"/>
      <c r="V196" s="21"/>
      <c r="W196" s="3"/>
      <c r="X196" s="3" t="s">
        <v>1280</v>
      </c>
      <c r="Y196" s="3" t="s">
        <v>1199</v>
      </c>
      <c r="Z196" s="3" t="s">
        <v>763</v>
      </c>
      <c r="AA196" s="3" t="s">
        <v>760</v>
      </c>
      <c r="AB196" s="3" t="s">
        <v>759</v>
      </c>
    </row>
    <row r="197" spans="1:28" s="1" customFormat="1" hidden="1" x14ac:dyDescent="0.3">
      <c r="A197" s="2">
        <v>193</v>
      </c>
      <c r="B197" s="4" t="s">
        <v>238</v>
      </c>
      <c r="C197" s="4" t="s">
        <v>10</v>
      </c>
      <c r="D197" s="14" t="s">
        <v>343</v>
      </c>
      <c r="E197" s="4" t="s">
        <v>345</v>
      </c>
      <c r="F197" s="12" t="s">
        <v>344</v>
      </c>
      <c r="G197" s="4" t="s">
        <v>965</v>
      </c>
      <c r="H197" s="39" t="s">
        <v>1278</v>
      </c>
      <c r="I197" s="30">
        <f t="shared" si="3"/>
        <v>603</v>
      </c>
      <c r="J197" s="30"/>
      <c r="K197" s="3"/>
      <c r="L197" s="30"/>
      <c r="M197" s="3"/>
      <c r="N197" s="35"/>
      <c r="O197" s="21"/>
      <c r="P197" s="21"/>
      <c r="Q197" s="21"/>
      <c r="R197" s="21"/>
      <c r="S197" s="35">
        <v>603</v>
      </c>
      <c r="T197" s="21">
        <v>2.5</v>
      </c>
      <c r="U197" s="21">
        <v>2.5</v>
      </c>
      <c r="V197" s="21">
        <v>2.5</v>
      </c>
      <c r="W197" s="21">
        <v>2.5</v>
      </c>
      <c r="X197" s="3"/>
      <c r="Y197" s="3" t="s">
        <v>760</v>
      </c>
      <c r="Z197" s="3" t="s">
        <v>759</v>
      </c>
      <c r="AA197" s="3"/>
      <c r="AB197" s="3"/>
    </row>
    <row r="198" spans="1:28" s="1" customFormat="1" hidden="1" x14ac:dyDescent="0.3">
      <c r="A198" s="2">
        <v>194</v>
      </c>
      <c r="B198" s="18" t="s">
        <v>1409</v>
      </c>
      <c r="C198" s="4" t="s">
        <v>19</v>
      </c>
      <c r="D198" s="12" t="s">
        <v>341</v>
      </c>
      <c r="E198" s="4"/>
      <c r="F198" s="12" t="s">
        <v>342</v>
      </c>
      <c r="G198" s="4"/>
      <c r="H198" s="39">
        <v>0.06</v>
      </c>
      <c r="I198" s="30">
        <f t="shared" si="3"/>
        <v>128</v>
      </c>
      <c r="J198" s="30"/>
      <c r="K198" s="3"/>
      <c r="L198" s="30"/>
      <c r="M198" s="3"/>
      <c r="N198" s="35">
        <f>64+64</f>
        <v>128</v>
      </c>
      <c r="O198" s="21">
        <v>2</v>
      </c>
      <c r="P198" s="21">
        <v>2</v>
      </c>
      <c r="Q198" s="21">
        <v>1.5</v>
      </c>
      <c r="R198" s="21">
        <v>1.5</v>
      </c>
      <c r="S198" s="35"/>
      <c r="T198" s="21"/>
      <c r="U198" s="21"/>
      <c r="V198" s="21"/>
      <c r="W198" s="3"/>
      <c r="X198" s="3" t="s">
        <v>1294</v>
      </c>
      <c r="Y198" s="3" t="s">
        <v>1237</v>
      </c>
      <c r="Z198" s="3" t="s">
        <v>763</v>
      </c>
      <c r="AA198" s="3" t="s">
        <v>760</v>
      </c>
      <c r="AB198" s="3" t="s">
        <v>749</v>
      </c>
    </row>
    <row r="199" spans="1:28" s="1" customFormat="1" hidden="1" x14ac:dyDescent="0.3">
      <c r="A199" s="2">
        <v>195</v>
      </c>
      <c r="B199" s="10" t="s">
        <v>468</v>
      </c>
      <c r="C199" s="9" t="s">
        <v>238</v>
      </c>
      <c r="D199" s="12" t="s">
        <v>660</v>
      </c>
      <c r="E199" s="9" t="s">
        <v>19</v>
      </c>
      <c r="F199" s="12" t="s">
        <v>659</v>
      </c>
      <c r="G199" s="12" t="s">
        <v>712</v>
      </c>
      <c r="H199" s="40">
        <v>1.23</v>
      </c>
      <c r="I199" s="30">
        <f t="shared" si="3"/>
        <v>943</v>
      </c>
      <c r="J199" s="31"/>
      <c r="K199" s="9"/>
      <c r="L199" s="31"/>
      <c r="M199" s="9"/>
      <c r="N199" s="31">
        <f>466+477</f>
        <v>943</v>
      </c>
      <c r="O199" s="22">
        <v>1.3</v>
      </c>
      <c r="P199" s="22">
        <v>1.3</v>
      </c>
      <c r="Q199" s="22">
        <v>1.2</v>
      </c>
      <c r="R199" s="22">
        <v>1.2</v>
      </c>
      <c r="S199" s="31"/>
      <c r="T199" s="22"/>
      <c r="U199" s="22"/>
      <c r="V199" s="22"/>
      <c r="W199" s="22"/>
      <c r="X199" s="9" t="s">
        <v>1294</v>
      </c>
      <c r="Y199" s="9" t="s">
        <v>758</v>
      </c>
      <c r="Z199" s="9" t="s">
        <v>763</v>
      </c>
      <c r="AA199" s="9" t="s">
        <v>760</v>
      </c>
      <c r="AB199" s="9" t="s">
        <v>763</v>
      </c>
    </row>
    <row r="200" spans="1:28" s="1" customFormat="1" hidden="1" x14ac:dyDescent="0.3">
      <c r="A200" s="2">
        <v>196</v>
      </c>
      <c r="B200" s="4" t="s">
        <v>234</v>
      </c>
      <c r="C200" s="4" t="s">
        <v>10</v>
      </c>
      <c r="D200" s="12" t="s">
        <v>334</v>
      </c>
      <c r="E200" s="4" t="s">
        <v>333</v>
      </c>
      <c r="F200" s="12" t="s">
        <v>335</v>
      </c>
      <c r="G200" s="4" t="s">
        <v>964</v>
      </c>
      <c r="H200" s="39">
        <v>0.62</v>
      </c>
      <c r="I200" s="30">
        <f t="shared" si="3"/>
        <v>1174</v>
      </c>
      <c r="J200" s="30"/>
      <c r="K200" s="3"/>
      <c r="L200" s="30"/>
      <c r="M200" s="3"/>
      <c r="N200" s="35"/>
      <c r="O200" s="21"/>
      <c r="P200" s="21"/>
      <c r="Q200" s="21"/>
      <c r="R200" s="21"/>
      <c r="S200" s="35">
        <f>603+571</f>
        <v>1174</v>
      </c>
      <c r="T200" s="21">
        <v>2.5</v>
      </c>
      <c r="U200" s="21">
        <v>3.5</v>
      </c>
      <c r="V200" s="21">
        <v>2.5</v>
      </c>
      <c r="W200" s="3">
        <v>3.5</v>
      </c>
      <c r="X200" s="3" t="s">
        <v>1280</v>
      </c>
      <c r="Y200" s="3" t="s">
        <v>1216</v>
      </c>
      <c r="Z200" s="3" t="s">
        <v>763</v>
      </c>
      <c r="AA200" s="3"/>
      <c r="AB200" s="3"/>
    </row>
    <row r="201" spans="1:28" s="1" customFormat="1" hidden="1" x14ac:dyDescent="0.3">
      <c r="A201" s="2">
        <v>197</v>
      </c>
      <c r="B201" s="4" t="s">
        <v>56</v>
      </c>
      <c r="C201" s="4" t="s">
        <v>58</v>
      </c>
      <c r="D201" s="12" t="s">
        <v>321</v>
      </c>
      <c r="E201" s="4" t="s">
        <v>60</v>
      </c>
      <c r="F201" s="12" t="s">
        <v>322</v>
      </c>
      <c r="G201" s="4" t="s">
        <v>960</v>
      </c>
      <c r="H201" s="39">
        <v>3.92</v>
      </c>
      <c r="I201" s="30">
        <f t="shared" si="3"/>
        <v>5504</v>
      </c>
      <c r="J201" s="30"/>
      <c r="K201" s="3"/>
      <c r="L201" s="30"/>
      <c r="M201" s="3"/>
      <c r="N201" s="35"/>
      <c r="O201" s="21"/>
      <c r="P201" s="21"/>
      <c r="Q201" s="21"/>
      <c r="R201" s="21"/>
      <c r="S201" s="35">
        <f>1144+1169+1590+1601</f>
        <v>5504</v>
      </c>
      <c r="T201" s="21">
        <v>2.5</v>
      </c>
      <c r="U201" s="21">
        <v>3.5</v>
      </c>
      <c r="V201" s="21">
        <v>1.5</v>
      </c>
      <c r="W201" s="3">
        <v>2.2000000000000002</v>
      </c>
      <c r="X201" s="3" t="s">
        <v>1281</v>
      </c>
      <c r="Y201" s="3" t="s">
        <v>1234</v>
      </c>
      <c r="Z201" s="3" t="s">
        <v>837</v>
      </c>
      <c r="AA201" s="3"/>
      <c r="AB201" s="3"/>
    </row>
    <row r="202" spans="1:28" x14ac:dyDescent="0.3">
      <c r="A202" s="50">
        <v>198</v>
      </c>
      <c r="B202" s="57" t="s">
        <v>56</v>
      </c>
      <c r="C202" s="57" t="s">
        <v>60</v>
      </c>
      <c r="D202" s="67" t="s">
        <v>322</v>
      </c>
      <c r="E202" s="57" t="s">
        <v>59</v>
      </c>
      <c r="F202" s="58" t="s">
        <v>323</v>
      </c>
      <c r="G202" s="57" t="s">
        <v>961</v>
      </c>
      <c r="H202" s="59" t="s">
        <v>1278</v>
      </c>
      <c r="I202" s="53">
        <f t="shared" si="3"/>
        <v>1140</v>
      </c>
      <c r="J202" s="53"/>
      <c r="K202" s="54"/>
      <c r="L202" s="53"/>
      <c r="M202" s="54"/>
      <c r="N202" s="60">
        <f>576+564</f>
        <v>1140</v>
      </c>
      <c r="O202" s="61">
        <v>3</v>
      </c>
      <c r="P202" s="61">
        <v>3</v>
      </c>
      <c r="Q202" s="61">
        <v>3</v>
      </c>
      <c r="R202" s="61">
        <v>3</v>
      </c>
      <c r="S202" s="60"/>
      <c r="T202" s="61"/>
      <c r="U202" s="61"/>
      <c r="V202" s="61"/>
      <c r="W202" s="54"/>
      <c r="X202" s="54"/>
      <c r="Y202" s="54" t="s">
        <v>1199</v>
      </c>
      <c r="Z202" s="54" t="s">
        <v>763</v>
      </c>
      <c r="AA202" s="54" t="s">
        <v>760</v>
      </c>
      <c r="AB202" s="54" t="s">
        <v>759</v>
      </c>
    </row>
    <row r="203" spans="1:28" x14ac:dyDescent="0.3">
      <c r="A203" s="50">
        <v>199</v>
      </c>
      <c r="B203" s="57" t="s">
        <v>56</v>
      </c>
      <c r="C203" s="57" t="s">
        <v>59</v>
      </c>
      <c r="D203" s="67" t="s">
        <v>323</v>
      </c>
      <c r="E203" s="57"/>
      <c r="F203" s="58" t="s">
        <v>324</v>
      </c>
      <c r="G203" s="57"/>
      <c r="H203" s="59" t="s">
        <v>1278</v>
      </c>
      <c r="I203" s="53">
        <f t="shared" si="3"/>
        <v>353</v>
      </c>
      <c r="J203" s="53"/>
      <c r="K203" s="54"/>
      <c r="L203" s="53"/>
      <c r="M203" s="54"/>
      <c r="N203" s="60"/>
      <c r="O203" s="61"/>
      <c r="P203" s="61"/>
      <c r="Q203" s="61"/>
      <c r="R203" s="61"/>
      <c r="S203" s="60">
        <f>180+173</f>
        <v>353</v>
      </c>
      <c r="T203" s="61">
        <v>3</v>
      </c>
      <c r="U203" s="61">
        <v>3.5</v>
      </c>
      <c r="V203" s="61">
        <v>1.8</v>
      </c>
      <c r="W203" s="54">
        <v>2.2999999999999998</v>
      </c>
      <c r="X203" s="54"/>
      <c r="Y203" s="54" t="s">
        <v>1199</v>
      </c>
      <c r="Z203" s="54" t="s">
        <v>763</v>
      </c>
      <c r="AA203" s="54"/>
      <c r="AB203" s="54"/>
    </row>
    <row r="204" spans="1:28" x14ac:dyDescent="0.3">
      <c r="A204" s="50">
        <v>200</v>
      </c>
      <c r="B204" s="57" t="s">
        <v>56</v>
      </c>
      <c r="C204" s="57"/>
      <c r="D204" s="58" t="s">
        <v>324</v>
      </c>
      <c r="E204" s="57"/>
      <c r="F204" s="58" t="s">
        <v>325</v>
      </c>
      <c r="G204" s="57"/>
      <c r="H204" s="59" t="s">
        <v>1278</v>
      </c>
      <c r="I204" s="53">
        <f t="shared" si="3"/>
        <v>239</v>
      </c>
      <c r="J204" s="53"/>
      <c r="K204" s="54"/>
      <c r="L204" s="53"/>
      <c r="M204" s="54"/>
      <c r="N204" s="60">
        <f>117+122</f>
        <v>239</v>
      </c>
      <c r="O204" s="61">
        <v>1.5</v>
      </c>
      <c r="P204" s="61">
        <v>1.5</v>
      </c>
      <c r="Q204" s="61">
        <v>1.5</v>
      </c>
      <c r="R204" s="61">
        <v>4.5</v>
      </c>
      <c r="S204" s="60"/>
      <c r="T204" s="61"/>
      <c r="U204" s="61"/>
      <c r="V204" s="61"/>
      <c r="W204" s="54"/>
      <c r="X204" s="54"/>
      <c r="Y204" s="54" t="s">
        <v>1199</v>
      </c>
      <c r="Z204" s="54" t="s">
        <v>763</v>
      </c>
      <c r="AA204" s="54" t="s">
        <v>1199</v>
      </c>
      <c r="AB204" s="54" t="s">
        <v>763</v>
      </c>
    </row>
    <row r="205" spans="1:28" x14ac:dyDescent="0.3">
      <c r="A205" s="50">
        <v>201</v>
      </c>
      <c r="B205" s="57" t="s">
        <v>56</v>
      </c>
      <c r="C205" s="57"/>
      <c r="D205" s="67" t="s">
        <v>325</v>
      </c>
      <c r="E205" s="57" t="s">
        <v>10</v>
      </c>
      <c r="F205" s="58" t="s">
        <v>326</v>
      </c>
      <c r="G205" s="57"/>
      <c r="H205" s="59" t="s">
        <v>1278</v>
      </c>
      <c r="I205" s="53">
        <f t="shared" si="3"/>
        <v>138</v>
      </c>
      <c r="J205" s="53"/>
      <c r="K205" s="54"/>
      <c r="L205" s="53"/>
      <c r="M205" s="54"/>
      <c r="N205" s="60"/>
      <c r="O205" s="61"/>
      <c r="P205" s="61"/>
      <c r="Q205" s="61"/>
      <c r="R205" s="61"/>
      <c r="S205" s="60">
        <v>138</v>
      </c>
      <c r="T205" s="61">
        <v>3</v>
      </c>
      <c r="U205" s="61">
        <v>3</v>
      </c>
      <c r="V205" s="61">
        <v>3</v>
      </c>
      <c r="W205" s="54">
        <v>3</v>
      </c>
      <c r="X205" s="54"/>
      <c r="Y205" s="54" t="s">
        <v>1199</v>
      </c>
      <c r="Z205" s="54" t="s">
        <v>763</v>
      </c>
      <c r="AA205" s="54"/>
      <c r="AB205" s="54"/>
    </row>
    <row r="206" spans="1:28" x14ac:dyDescent="0.3">
      <c r="A206" s="50">
        <v>202</v>
      </c>
      <c r="B206" s="68" t="s">
        <v>1410</v>
      </c>
      <c r="C206" s="63" t="s">
        <v>56</v>
      </c>
      <c r="D206" s="58" t="s">
        <v>673</v>
      </c>
      <c r="E206" s="63"/>
      <c r="F206" s="58" t="s">
        <v>674</v>
      </c>
      <c r="G206" s="63"/>
      <c r="H206" s="64">
        <v>7.0000000000000007E-2</v>
      </c>
      <c r="I206" s="53">
        <f t="shared" ref="I206:I270" si="4">J206+N206+S206+L206</f>
        <v>128</v>
      </c>
      <c r="J206" s="65"/>
      <c r="K206" s="63"/>
      <c r="L206" s="65"/>
      <c r="M206" s="63"/>
      <c r="N206" s="65">
        <f>64+64</f>
        <v>128</v>
      </c>
      <c r="O206" s="66">
        <v>1.5</v>
      </c>
      <c r="P206" s="66">
        <v>1.5</v>
      </c>
      <c r="Q206" s="66">
        <v>1.5</v>
      </c>
      <c r="R206" s="66">
        <v>1.5</v>
      </c>
      <c r="S206" s="65"/>
      <c r="T206" s="66"/>
      <c r="U206" s="66"/>
      <c r="V206" s="66"/>
      <c r="W206" s="66"/>
      <c r="X206" s="63" t="s">
        <v>1297</v>
      </c>
      <c r="Y206" s="63" t="s">
        <v>1199</v>
      </c>
      <c r="Z206" s="63" t="s">
        <v>763</v>
      </c>
      <c r="AA206" s="63" t="s">
        <v>760</v>
      </c>
      <c r="AB206" s="63" t="s">
        <v>749</v>
      </c>
    </row>
    <row r="207" spans="1:28" x14ac:dyDescent="0.3">
      <c r="A207" s="50">
        <v>203</v>
      </c>
      <c r="B207" s="57" t="s">
        <v>40</v>
      </c>
      <c r="C207" s="57" t="s">
        <v>41</v>
      </c>
      <c r="D207" s="58" t="s">
        <v>330</v>
      </c>
      <c r="E207" s="57" t="s">
        <v>331</v>
      </c>
      <c r="F207" s="58" t="s">
        <v>332</v>
      </c>
      <c r="G207" s="57" t="s">
        <v>963</v>
      </c>
      <c r="H207" s="59">
        <v>3.17</v>
      </c>
      <c r="I207" s="53">
        <f t="shared" si="4"/>
        <v>2263</v>
      </c>
      <c r="J207" s="53"/>
      <c r="K207" s="54"/>
      <c r="L207" s="53"/>
      <c r="M207" s="54"/>
      <c r="N207" s="60">
        <f>1148+1115</f>
        <v>2263</v>
      </c>
      <c r="O207" s="61">
        <v>2</v>
      </c>
      <c r="P207" s="61">
        <v>2</v>
      </c>
      <c r="Q207" s="61">
        <v>1</v>
      </c>
      <c r="R207" s="61">
        <v>1</v>
      </c>
      <c r="S207" s="60"/>
      <c r="T207" s="61"/>
      <c r="U207" s="61"/>
      <c r="V207" s="61"/>
      <c r="W207" s="54"/>
      <c r="X207" s="54" t="s">
        <v>746</v>
      </c>
      <c r="Y207" s="54" t="s">
        <v>1207</v>
      </c>
      <c r="Z207" s="54" t="s">
        <v>763</v>
      </c>
      <c r="AA207" s="54" t="s">
        <v>760</v>
      </c>
      <c r="AB207" s="54" t="s">
        <v>749</v>
      </c>
    </row>
    <row r="208" spans="1:28" s="1" customFormat="1" hidden="1" x14ac:dyDescent="0.3">
      <c r="A208" s="2">
        <v>204</v>
      </c>
      <c r="B208" s="4" t="s">
        <v>770</v>
      </c>
      <c r="C208" s="4" t="s">
        <v>771</v>
      </c>
      <c r="D208" s="10" t="s">
        <v>86</v>
      </c>
      <c r="E208" s="4" t="s">
        <v>185</v>
      </c>
      <c r="F208" s="10" t="s">
        <v>85</v>
      </c>
      <c r="G208" s="4" t="s">
        <v>772</v>
      </c>
      <c r="H208" s="39">
        <v>1.05</v>
      </c>
      <c r="I208" s="30">
        <f t="shared" si="4"/>
        <v>2065</v>
      </c>
      <c r="J208" s="30"/>
      <c r="K208" s="3"/>
      <c r="L208" s="34"/>
      <c r="M208" s="6"/>
      <c r="N208" s="34">
        <f>1035+1030</f>
        <v>2065</v>
      </c>
      <c r="O208" s="3">
        <v>1.5</v>
      </c>
      <c r="P208" s="3">
        <v>1.5</v>
      </c>
      <c r="Q208" s="3">
        <v>1.3</v>
      </c>
      <c r="R208" s="3">
        <v>1.3</v>
      </c>
      <c r="S208" s="30"/>
      <c r="T208" s="5"/>
      <c r="U208" s="3"/>
      <c r="V208" s="3"/>
      <c r="W208" s="3"/>
      <c r="X208" s="6" t="s">
        <v>746</v>
      </c>
      <c r="Y208" s="6" t="s">
        <v>762</v>
      </c>
      <c r="Z208" s="6" t="s">
        <v>763</v>
      </c>
      <c r="AA208" s="6" t="s">
        <v>760</v>
      </c>
      <c r="AB208" s="6" t="s">
        <v>759</v>
      </c>
    </row>
    <row r="209" spans="1:28" s="1" customFormat="1" hidden="1" x14ac:dyDescent="0.3">
      <c r="A209" s="2">
        <v>205</v>
      </c>
      <c r="B209" s="4" t="s">
        <v>95</v>
      </c>
      <c r="C209" s="4" t="s">
        <v>98</v>
      </c>
      <c r="D209" s="12" t="s">
        <v>96</v>
      </c>
      <c r="E209" s="4" t="s">
        <v>187</v>
      </c>
      <c r="F209" s="12" t="s">
        <v>97</v>
      </c>
      <c r="G209" s="4" t="s">
        <v>153</v>
      </c>
      <c r="H209" s="39">
        <v>0.69</v>
      </c>
      <c r="I209" s="30">
        <f t="shared" si="4"/>
        <v>3</v>
      </c>
      <c r="J209" s="30"/>
      <c r="K209" s="3"/>
      <c r="L209" s="34"/>
      <c r="M209" s="6"/>
      <c r="N209" s="34">
        <v>3</v>
      </c>
      <c r="O209" s="3">
        <v>1.5</v>
      </c>
      <c r="P209" s="3">
        <v>1.5</v>
      </c>
      <c r="Q209" s="3">
        <v>2.5</v>
      </c>
      <c r="R209" s="3">
        <v>2.5</v>
      </c>
      <c r="S209" s="30"/>
      <c r="T209" s="5"/>
      <c r="U209" s="3"/>
      <c r="V209" s="3"/>
      <c r="W209" s="3"/>
      <c r="X209" s="6" t="s">
        <v>1280</v>
      </c>
      <c r="Y209" s="6" t="s">
        <v>1199</v>
      </c>
      <c r="Z209" s="6" t="s">
        <v>763</v>
      </c>
      <c r="AA209" s="6" t="s">
        <v>1208</v>
      </c>
      <c r="AB209" s="6" t="s">
        <v>1209</v>
      </c>
    </row>
    <row r="210" spans="1:28" s="1" customFormat="1" hidden="1" x14ac:dyDescent="0.3">
      <c r="A210" s="2">
        <v>206</v>
      </c>
      <c r="B210" s="4" t="s">
        <v>707</v>
      </c>
      <c r="C210" s="4" t="s">
        <v>773</v>
      </c>
      <c r="D210" s="10" t="s">
        <v>87</v>
      </c>
      <c r="E210" s="4" t="s">
        <v>187</v>
      </c>
      <c r="F210" s="10" t="s">
        <v>88</v>
      </c>
      <c r="G210" s="4" t="s">
        <v>152</v>
      </c>
      <c r="H210" s="39">
        <v>0.75</v>
      </c>
      <c r="I210" s="30">
        <f t="shared" si="4"/>
        <v>1454</v>
      </c>
      <c r="J210" s="30"/>
      <c r="K210" s="3"/>
      <c r="L210" s="34"/>
      <c r="M210" s="6"/>
      <c r="N210" s="34">
        <f>725+729</f>
        <v>1454</v>
      </c>
      <c r="O210" s="3">
        <v>1.5</v>
      </c>
      <c r="P210" s="3">
        <v>1.5</v>
      </c>
      <c r="Q210" s="3">
        <v>0.8</v>
      </c>
      <c r="R210" s="3">
        <v>4</v>
      </c>
      <c r="S210" s="30"/>
      <c r="T210" s="5"/>
      <c r="U210" s="3"/>
      <c r="V210" s="3"/>
      <c r="W210" s="3"/>
      <c r="X210" s="6" t="s">
        <v>1280</v>
      </c>
      <c r="Y210" s="6" t="s">
        <v>1211</v>
      </c>
      <c r="Z210" s="6" t="s">
        <v>1194</v>
      </c>
      <c r="AA210" s="6" t="s">
        <v>1235</v>
      </c>
      <c r="AB210" s="6" t="s">
        <v>764</v>
      </c>
    </row>
    <row r="211" spans="1:28" s="1" customFormat="1" hidden="1" x14ac:dyDescent="0.3">
      <c r="A211" s="2">
        <v>207</v>
      </c>
      <c r="B211" s="8" t="s">
        <v>707</v>
      </c>
      <c r="C211" s="4" t="s">
        <v>745</v>
      </c>
      <c r="D211" s="12" t="s">
        <v>89</v>
      </c>
      <c r="E211" s="4" t="s">
        <v>774</v>
      </c>
      <c r="F211" s="12" t="s">
        <v>88</v>
      </c>
      <c r="G211" s="4" t="s">
        <v>775</v>
      </c>
      <c r="H211" s="39" t="s">
        <v>1278</v>
      </c>
      <c r="I211" s="30">
        <f t="shared" si="4"/>
        <v>420</v>
      </c>
      <c r="J211" s="30"/>
      <c r="K211" s="3"/>
      <c r="L211" s="34"/>
      <c r="M211" s="6"/>
      <c r="N211" s="34">
        <f>228+192</f>
        <v>420</v>
      </c>
      <c r="O211" s="3">
        <v>1.5</v>
      </c>
      <c r="P211" s="3">
        <v>1.5</v>
      </c>
      <c r="Q211" s="3">
        <v>2.5</v>
      </c>
      <c r="R211" s="3">
        <v>2.5</v>
      </c>
      <c r="S211" s="30"/>
      <c r="T211" s="5"/>
      <c r="U211" s="3"/>
      <c r="V211" s="3"/>
      <c r="W211" s="3"/>
      <c r="X211" s="6"/>
      <c r="Y211" s="6" t="s">
        <v>1199</v>
      </c>
      <c r="Z211" s="6" t="s">
        <v>763</v>
      </c>
      <c r="AA211" s="6" t="s">
        <v>758</v>
      </c>
      <c r="AB211" s="6" t="s">
        <v>759</v>
      </c>
    </row>
    <row r="212" spans="1:28" s="1" customFormat="1" hidden="1" x14ac:dyDescent="0.3">
      <c r="A212" s="2">
        <v>208</v>
      </c>
      <c r="B212" s="8" t="s">
        <v>707</v>
      </c>
      <c r="C212" s="12" t="s">
        <v>91</v>
      </c>
      <c r="D212" s="12" t="s">
        <v>90</v>
      </c>
      <c r="E212" s="4" t="s">
        <v>92</v>
      </c>
      <c r="F212" s="12" t="s">
        <v>93</v>
      </c>
      <c r="G212" s="4" t="s">
        <v>94</v>
      </c>
      <c r="H212" s="39" t="s">
        <v>1278</v>
      </c>
      <c r="I212" s="30">
        <f t="shared" si="4"/>
        <v>419</v>
      </c>
      <c r="J212" s="30"/>
      <c r="K212" s="3"/>
      <c r="L212" s="34"/>
      <c r="M212" s="6"/>
      <c r="N212" s="34">
        <f>196+223</f>
        <v>419</v>
      </c>
      <c r="O212" s="3">
        <v>1.5</v>
      </c>
      <c r="P212" s="3">
        <v>1.5</v>
      </c>
      <c r="Q212" s="3">
        <v>1.5</v>
      </c>
      <c r="R212" s="3">
        <v>1.5</v>
      </c>
      <c r="S212" s="30"/>
      <c r="T212" s="5"/>
      <c r="U212" s="3"/>
      <c r="V212" s="3"/>
      <c r="W212" s="3"/>
      <c r="X212" s="6"/>
      <c r="Y212" s="6" t="s">
        <v>1199</v>
      </c>
      <c r="Z212" s="6" t="s">
        <v>763</v>
      </c>
      <c r="AA212" s="6" t="s">
        <v>758</v>
      </c>
      <c r="AB212" s="6" t="s">
        <v>759</v>
      </c>
    </row>
    <row r="213" spans="1:28" s="1" customFormat="1" hidden="1" x14ac:dyDescent="0.3">
      <c r="A213" s="2">
        <v>209</v>
      </c>
      <c r="B213" s="8" t="s">
        <v>847</v>
      </c>
      <c r="C213" s="12" t="s">
        <v>1270</v>
      </c>
      <c r="D213" s="12" t="s">
        <v>1269</v>
      </c>
      <c r="E213" s="4" t="s">
        <v>848</v>
      </c>
      <c r="F213" s="12" t="s">
        <v>1271</v>
      </c>
      <c r="G213" s="4" t="s">
        <v>1272</v>
      </c>
      <c r="H213" s="39">
        <v>0.83</v>
      </c>
      <c r="I213" s="30">
        <f t="shared" si="4"/>
        <v>1520</v>
      </c>
      <c r="J213" s="30"/>
      <c r="K213" s="3"/>
      <c r="L213" s="30"/>
      <c r="M213" s="3"/>
      <c r="N213" s="38">
        <f>798+722</f>
        <v>1520</v>
      </c>
      <c r="O213" s="3">
        <v>1.5</v>
      </c>
      <c r="P213" s="3">
        <v>1.5</v>
      </c>
      <c r="Q213" s="3">
        <v>2.5</v>
      </c>
      <c r="R213" s="3">
        <v>2.5</v>
      </c>
      <c r="S213" s="30"/>
      <c r="T213" s="5"/>
      <c r="U213" s="3"/>
      <c r="V213" s="3"/>
      <c r="W213" s="3"/>
      <c r="X213" s="3" t="s">
        <v>1280</v>
      </c>
      <c r="Y213" s="6" t="s">
        <v>1199</v>
      </c>
      <c r="Z213" s="6" t="s">
        <v>763</v>
      </c>
      <c r="AA213" s="6" t="s">
        <v>758</v>
      </c>
      <c r="AB213" s="6" t="s">
        <v>759</v>
      </c>
    </row>
    <row r="214" spans="1:28" s="1" customFormat="1" hidden="1" x14ac:dyDescent="0.3">
      <c r="A214" s="2">
        <v>210</v>
      </c>
      <c r="B214" s="10" t="s">
        <v>469</v>
      </c>
      <c r="C214" s="9" t="s">
        <v>661</v>
      </c>
      <c r="D214" s="12" t="s">
        <v>662</v>
      </c>
      <c r="E214" s="9" t="s">
        <v>664</v>
      </c>
      <c r="F214" s="12" t="s">
        <v>663</v>
      </c>
      <c r="G214" s="9" t="s">
        <v>1165</v>
      </c>
      <c r="H214" s="40">
        <v>1.22</v>
      </c>
      <c r="I214" s="30">
        <f t="shared" si="4"/>
        <v>517</v>
      </c>
      <c r="J214" s="31"/>
      <c r="K214" s="9"/>
      <c r="L214" s="31"/>
      <c r="M214" s="9"/>
      <c r="N214" s="31">
        <f>263+254</f>
        <v>517</v>
      </c>
      <c r="O214" s="22">
        <v>1.5</v>
      </c>
      <c r="P214" s="22">
        <v>1.5</v>
      </c>
      <c r="Q214" s="22">
        <v>1.8</v>
      </c>
      <c r="R214" s="22">
        <v>1.8</v>
      </c>
      <c r="S214" s="31"/>
      <c r="T214" s="22"/>
      <c r="U214" s="22"/>
      <c r="V214" s="22"/>
      <c r="W214" s="22"/>
      <c r="X214" s="9" t="s">
        <v>1294</v>
      </c>
      <c r="Y214" s="9" t="s">
        <v>1199</v>
      </c>
      <c r="Z214" s="9" t="s">
        <v>763</v>
      </c>
      <c r="AA214" s="9" t="s">
        <v>760</v>
      </c>
      <c r="AB214" s="9" t="s">
        <v>759</v>
      </c>
    </row>
    <row r="215" spans="1:28" s="1" customFormat="1" hidden="1" x14ac:dyDescent="0.3">
      <c r="A215" s="2">
        <v>211</v>
      </c>
      <c r="B215" s="2" t="s">
        <v>683</v>
      </c>
      <c r="C215" s="2" t="s">
        <v>767</v>
      </c>
      <c r="D215" s="10" t="s">
        <v>82</v>
      </c>
      <c r="E215" s="4" t="s">
        <v>684</v>
      </c>
      <c r="F215" s="10" t="s">
        <v>84</v>
      </c>
      <c r="G215" s="4" t="s">
        <v>768</v>
      </c>
      <c r="H215" s="39">
        <v>15.84</v>
      </c>
      <c r="I215" s="30">
        <f t="shared" si="4"/>
        <v>5345</v>
      </c>
      <c r="J215" s="30"/>
      <c r="K215" s="3"/>
      <c r="L215" s="30"/>
      <c r="M215" s="3"/>
      <c r="N215" s="30">
        <f>2729+1110+1506</f>
        <v>5345</v>
      </c>
      <c r="O215" s="3">
        <v>2</v>
      </c>
      <c r="P215" s="3">
        <v>3</v>
      </c>
      <c r="Q215" s="3">
        <v>1</v>
      </c>
      <c r="R215" s="3">
        <v>3.5</v>
      </c>
      <c r="S215" s="30"/>
      <c r="T215" s="5"/>
      <c r="U215" s="3"/>
      <c r="V215" s="3"/>
      <c r="W215" s="3"/>
      <c r="X215" s="3" t="s">
        <v>746</v>
      </c>
      <c r="Y215" s="3" t="s">
        <v>1190</v>
      </c>
      <c r="Z215" s="3" t="s">
        <v>763</v>
      </c>
      <c r="AA215" s="3" t="s">
        <v>1236</v>
      </c>
      <c r="AB215" s="3" t="s">
        <v>837</v>
      </c>
    </row>
    <row r="216" spans="1:28" s="1" customFormat="1" hidden="1" x14ac:dyDescent="0.3">
      <c r="A216" s="2">
        <v>212</v>
      </c>
      <c r="B216" s="4" t="s">
        <v>683</v>
      </c>
      <c r="C216" s="4" t="s">
        <v>769</v>
      </c>
      <c r="D216" s="12" t="s">
        <v>685</v>
      </c>
      <c r="E216" s="4" t="s">
        <v>186</v>
      </c>
      <c r="F216" s="10" t="s">
        <v>83</v>
      </c>
      <c r="G216" s="4" t="s">
        <v>186</v>
      </c>
      <c r="H216" s="39" t="s">
        <v>1278</v>
      </c>
      <c r="I216" s="30">
        <f t="shared" si="4"/>
        <v>180</v>
      </c>
      <c r="J216" s="30"/>
      <c r="K216" s="3"/>
      <c r="L216" s="34"/>
      <c r="M216" s="6"/>
      <c r="N216" s="34"/>
      <c r="O216" s="3"/>
      <c r="P216" s="3"/>
      <c r="Q216" s="3"/>
      <c r="R216" s="3"/>
      <c r="S216" s="30">
        <v>180</v>
      </c>
      <c r="T216" s="5">
        <v>5</v>
      </c>
      <c r="U216" s="3">
        <v>5</v>
      </c>
      <c r="V216" s="3">
        <v>3</v>
      </c>
      <c r="W216" s="3">
        <v>3</v>
      </c>
      <c r="X216" s="3"/>
      <c r="Y216" s="6" t="s">
        <v>762</v>
      </c>
      <c r="Z216" s="6" t="s">
        <v>763</v>
      </c>
      <c r="AA216" s="6"/>
      <c r="AB216" s="6"/>
    </row>
    <row r="217" spans="1:28" x14ac:dyDescent="0.3">
      <c r="A217" s="50">
        <v>213</v>
      </c>
      <c r="B217" s="57" t="s">
        <v>52</v>
      </c>
      <c r="C217" s="57" t="s">
        <v>684</v>
      </c>
      <c r="D217" s="58" t="s">
        <v>943</v>
      </c>
      <c r="E217" s="57" t="s">
        <v>944</v>
      </c>
      <c r="F217" s="58" t="s">
        <v>297</v>
      </c>
      <c r="G217" s="57" t="s">
        <v>945</v>
      </c>
      <c r="H217" s="59">
        <v>1.25</v>
      </c>
      <c r="I217" s="53">
        <f t="shared" si="4"/>
        <v>325</v>
      </c>
      <c r="J217" s="53"/>
      <c r="K217" s="54"/>
      <c r="L217" s="53"/>
      <c r="M217" s="54"/>
      <c r="N217" s="60"/>
      <c r="O217" s="61"/>
      <c r="P217" s="61"/>
      <c r="Q217" s="61"/>
      <c r="R217" s="61"/>
      <c r="S217" s="60">
        <f>140+185</f>
        <v>325</v>
      </c>
      <c r="T217" s="61">
        <v>2</v>
      </c>
      <c r="U217" s="61">
        <v>2</v>
      </c>
      <c r="V217" s="61">
        <v>0.8</v>
      </c>
      <c r="W217" s="54">
        <v>0.8</v>
      </c>
      <c r="X217" s="54" t="s">
        <v>1280</v>
      </c>
      <c r="Y217" s="54" t="s">
        <v>760</v>
      </c>
      <c r="Z217" s="54" t="s">
        <v>759</v>
      </c>
      <c r="AA217" s="54"/>
      <c r="AB217" s="54"/>
    </row>
    <row r="218" spans="1:28" s="1" customFormat="1" hidden="1" x14ac:dyDescent="0.3">
      <c r="A218" s="2">
        <v>214</v>
      </c>
      <c r="B218" s="4" t="s">
        <v>77</v>
      </c>
      <c r="C218" s="7"/>
      <c r="D218" s="12" t="s">
        <v>270</v>
      </c>
      <c r="E218" s="4" t="s">
        <v>187</v>
      </c>
      <c r="F218" s="12" t="s">
        <v>915</v>
      </c>
      <c r="G218" s="4" t="s">
        <v>914</v>
      </c>
      <c r="H218" s="39">
        <v>2.0499999999999998</v>
      </c>
      <c r="I218" s="30">
        <f t="shared" si="4"/>
        <v>1994</v>
      </c>
      <c r="J218" s="30"/>
      <c r="K218" s="3"/>
      <c r="L218" s="30"/>
      <c r="M218" s="3"/>
      <c r="N218" s="35">
        <v>1994</v>
      </c>
      <c r="O218" s="21">
        <v>1.5</v>
      </c>
      <c r="P218" s="21">
        <v>1.5</v>
      </c>
      <c r="Q218" s="21">
        <v>1.5</v>
      </c>
      <c r="R218" s="21">
        <v>1.8</v>
      </c>
      <c r="S218" s="35"/>
      <c r="T218" s="21"/>
      <c r="U218" s="21"/>
      <c r="V218" s="21"/>
      <c r="W218" s="3"/>
      <c r="X218" s="3" t="s">
        <v>1280</v>
      </c>
      <c r="Y218" s="3" t="s">
        <v>762</v>
      </c>
      <c r="Z218" s="3" t="s">
        <v>763</v>
      </c>
      <c r="AA218" s="3" t="s">
        <v>760</v>
      </c>
      <c r="AB218" s="3" t="s">
        <v>759</v>
      </c>
    </row>
    <row r="219" spans="1:28" s="1" customFormat="1" hidden="1" x14ac:dyDescent="0.3">
      <c r="A219" s="2">
        <v>215</v>
      </c>
      <c r="B219" s="4" t="s">
        <v>212</v>
      </c>
      <c r="C219" s="4" t="s">
        <v>916</v>
      </c>
      <c r="D219" s="12" t="s">
        <v>276</v>
      </c>
      <c r="E219" s="4" t="s">
        <v>917</v>
      </c>
      <c r="F219" s="12" t="s">
        <v>275</v>
      </c>
      <c r="G219" s="4" t="s">
        <v>918</v>
      </c>
      <c r="H219" s="39">
        <v>0.19</v>
      </c>
      <c r="I219" s="30">
        <f t="shared" si="4"/>
        <v>299</v>
      </c>
      <c r="J219" s="30"/>
      <c r="K219" s="3"/>
      <c r="L219" s="30"/>
      <c r="M219" s="3"/>
      <c r="N219" s="35">
        <f>149+150</f>
        <v>299</v>
      </c>
      <c r="O219" s="21">
        <v>1.5</v>
      </c>
      <c r="P219" s="21">
        <v>1.5</v>
      </c>
      <c r="Q219" s="21">
        <v>1.8</v>
      </c>
      <c r="R219" s="21">
        <v>1.8</v>
      </c>
      <c r="S219" s="35"/>
      <c r="T219" s="21"/>
      <c r="U219" s="21"/>
      <c r="V219" s="21"/>
      <c r="W219" s="3"/>
      <c r="X219" s="3" t="s">
        <v>1280</v>
      </c>
      <c r="Y219" s="3" t="s">
        <v>762</v>
      </c>
      <c r="Z219" s="3" t="s">
        <v>763</v>
      </c>
      <c r="AA219" s="3" t="s">
        <v>760</v>
      </c>
      <c r="AB219" s="3" t="s">
        <v>759</v>
      </c>
    </row>
    <row r="220" spans="1:28" s="1" customFormat="1" hidden="1" x14ac:dyDescent="0.3">
      <c r="A220" s="2">
        <v>216</v>
      </c>
      <c r="B220" s="4" t="s">
        <v>211</v>
      </c>
      <c r="C220" s="4"/>
      <c r="D220" s="12" t="s">
        <v>697</v>
      </c>
      <c r="E220" s="4" t="s">
        <v>916</v>
      </c>
      <c r="F220" s="12" t="s">
        <v>276</v>
      </c>
      <c r="G220" s="7"/>
      <c r="H220" s="39">
        <v>0.04</v>
      </c>
      <c r="I220" s="30">
        <f t="shared" si="4"/>
        <v>76</v>
      </c>
      <c r="J220" s="30"/>
      <c r="K220" s="3"/>
      <c r="L220" s="30"/>
      <c r="M220" s="3"/>
      <c r="N220" s="35">
        <f>37+39</f>
        <v>76</v>
      </c>
      <c r="O220" s="21">
        <v>1.5</v>
      </c>
      <c r="P220" s="21">
        <v>1.5</v>
      </c>
      <c r="Q220" s="21">
        <v>1.8</v>
      </c>
      <c r="R220" s="21">
        <v>1.8</v>
      </c>
      <c r="S220" s="35"/>
      <c r="T220" s="21"/>
      <c r="U220" s="21"/>
      <c r="V220" s="21"/>
      <c r="W220" s="3"/>
      <c r="X220" s="3" t="s">
        <v>1280</v>
      </c>
      <c r="Y220" s="3" t="s">
        <v>762</v>
      </c>
      <c r="Z220" s="3" t="s">
        <v>763</v>
      </c>
      <c r="AA220" s="3" t="s">
        <v>760</v>
      </c>
      <c r="AB220" s="3" t="s">
        <v>759</v>
      </c>
    </row>
    <row r="221" spans="1:28" x14ac:dyDescent="0.3">
      <c r="A221" s="50">
        <v>217</v>
      </c>
      <c r="B221" s="63" t="s">
        <v>331</v>
      </c>
      <c r="C221" s="63" t="s">
        <v>40</v>
      </c>
      <c r="D221" s="58" t="s">
        <v>680</v>
      </c>
      <c r="E221" s="63" t="s">
        <v>63</v>
      </c>
      <c r="F221" s="58" t="s">
        <v>681</v>
      </c>
      <c r="G221" s="63" t="s">
        <v>1167</v>
      </c>
      <c r="H221" s="69">
        <v>0.62</v>
      </c>
      <c r="I221" s="53">
        <f t="shared" si="4"/>
        <v>1217</v>
      </c>
      <c r="J221" s="65"/>
      <c r="K221" s="63"/>
      <c r="L221" s="65"/>
      <c r="M221" s="63"/>
      <c r="N221" s="65">
        <f>593+624</f>
        <v>1217</v>
      </c>
      <c r="O221" s="66">
        <v>2</v>
      </c>
      <c r="P221" s="66">
        <v>2</v>
      </c>
      <c r="Q221" s="66">
        <v>1</v>
      </c>
      <c r="R221" s="66">
        <v>1</v>
      </c>
      <c r="S221" s="65"/>
      <c r="T221" s="66"/>
      <c r="U221" s="66"/>
      <c r="V221" s="66"/>
      <c r="W221" s="66"/>
      <c r="X221" s="63" t="s">
        <v>1297</v>
      </c>
      <c r="Y221" s="63" t="s">
        <v>762</v>
      </c>
      <c r="Z221" s="63" t="s">
        <v>763</v>
      </c>
      <c r="AA221" s="63" t="s">
        <v>765</v>
      </c>
      <c r="AB221" s="63" t="s">
        <v>763</v>
      </c>
    </row>
    <row r="222" spans="1:28" x14ac:dyDescent="0.3">
      <c r="A222" s="50">
        <v>218</v>
      </c>
      <c r="B222" s="57" t="s">
        <v>159</v>
      </c>
      <c r="C222" s="57" t="s">
        <v>191</v>
      </c>
      <c r="D222" s="62" t="s">
        <v>114</v>
      </c>
      <c r="E222" s="57" t="s">
        <v>161</v>
      </c>
      <c r="F222" s="62" t="s">
        <v>160</v>
      </c>
      <c r="G222" s="57"/>
      <c r="H222" s="59">
        <v>0.41</v>
      </c>
      <c r="I222" s="53">
        <f t="shared" si="4"/>
        <v>769</v>
      </c>
      <c r="J222" s="53"/>
      <c r="K222" s="54"/>
      <c r="L222" s="53"/>
      <c r="M222" s="54"/>
      <c r="N222" s="60"/>
      <c r="O222" s="61"/>
      <c r="P222" s="61"/>
      <c r="Q222" s="61"/>
      <c r="R222" s="61"/>
      <c r="S222" s="60">
        <f>389+380</f>
        <v>769</v>
      </c>
      <c r="T222" s="61">
        <v>1.3</v>
      </c>
      <c r="U222" s="61">
        <v>2.1</v>
      </c>
      <c r="V222" s="61">
        <v>1.3</v>
      </c>
      <c r="W222" s="54">
        <v>2.1</v>
      </c>
      <c r="X222" s="54" t="s">
        <v>1281</v>
      </c>
      <c r="Y222" s="54" t="s">
        <v>1230</v>
      </c>
      <c r="Z222" s="54" t="s">
        <v>763</v>
      </c>
      <c r="AA222" s="54"/>
      <c r="AB222" s="54"/>
    </row>
    <row r="223" spans="1:28" x14ac:dyDescent="0.3">
      <c r="A223" s="50">
        <v>219</v>
      </c>
      <c r="B223" s="63" t="s">
        <v>63</v>
      </c>
      <c r="C223" s="63" t="s">
        <v>40</v>
      </c>
      <c r="D223" s="58" t="s">
        <v>678</v>
      </c>
      <c r="E223" s="63" t="s">
        <v>61</v>
      </c>
      <c r="F223" s="58" t="s">
        <v>679</v>
      </c>
      <c r="G223" s="63" t="s">
        <v>1166</v>
      </c>
      <c r="H223" s="69">
        <v>1.28</v>
      </c>
      <c r="I223" s="53">
        <f t="shared" si="4"/>
        <v>566</v>
      </c>
      <c r="J223" s="65"/>
      <c r="K223" s="63"/>
      <c r="L223" s="65"/>
      <c r="M223" s="63"/>
      <c r="N223" s="65">
        <f>284+282</f>
        <v>566</v>
      </c>
      <c r="O223" s="66">
        <v>1.8</v>
      </c>
      <c r="P223" s="66">
        <v>2</v>
      </c>
      <c r="Q223" s="66">
        <v>1.2</v>
      </c>
      <c r="R223" s="66">
        <v>4</v>
      </c>
      <c r="S223" s="65"/>
      <c r="T223" s="66"/>
      <c r="U223" s="66"/>
      <c r="V223" s="66"/>
      <c r="W223" s="66"/>
      <c r="X223" s="63" t="s">
        <v>746</v>
      </c>
      <c r="Y223" s="63" t="s">
        <v>1199</v>
      </c>
      <c r="Z223" s="63" t="s">
        <v>763</v>
      </c>
      <c r="AA223" s="63" t="s">
        <v>760</v>
      </c>
      <c r="AB223" s="63" t="s">
        <v>749</v>
      </c>
    </row>
    <row r="224" spans="1:28" x14ac:dyDescent="0.3">
      <c r="A224" s="50">
        <v>220</v>
      </c>
      <c r="B224" s="63" t="s">
        <v>486</v>
      </c>
      <c r="C224" s="63" t="s">
        <v>62</v>
      </c>
      <c r="D224" s="63" t="s">
        <v>1335</v>
      </c>
      <c r="E224" s="63" t="s">
        <v>40</v>
      </c>
      <c r="F224" s="58" t="s">
        <v>678</v>
      </c>
      <c r="G224" s="63" t="s">
        <v>1336</v>
      </c>
      <c r="H224" s="69">
        <v>0.55000000000000004</v>
      </c>
      <c r="I224" s="53">
        <f t="shared" si="4"/>
        <v>554</v>
      </c>
      <c r="J224" s="65"/>
      <c r="K224" s="63"/>
      <c r="L224" s="65"/>
      <c r="M224" s="63"/>
      <c r="N224" s="65">
        <v>554</v>
      </c>
      <c r="O224" s="66">
        <v>2</v>
      </c>
      <c r="P224" s="66">
        <v>2</v>
      </c>
      <c r="Q224" s="66">
        <v>2</v>
      </c>
      <c r="R224" s="66">
        <v>2</v>
      </c>
      <c r="S224" s="65"/>
      <c r="T224" s="66"/>
      <c r="U224" s="66"/>
      <c r="V224" s="66"/>
      <c r="W224" s="66"/>
      <c r="X224" s="63" t="s">
        <v>1297</v>
      </c>
      <c r="Y224" s="63" t="s">
        <v>762</v>
      </c>
      <c r="Z224" s="63" t="s">
        <v>1196</v>
      </c>
      <c r="AA224" s="63" t="s">
        <v>1237</v>
      </c>
      <c r="AB224" s="63" t="s">
        <v>759</v>
      </c>
    </row>
    <row r="225" spans="1:28" x14ac:dyDescent="0.3">
      <c r="A225" s="50">
        <v>221</v>
      </c>
      <c r="B225" s="63" t="s">
        <v>1238</v>
      </c>
      <c r="C225" s="63" t="s">
        <v>62</v>
      </c>
      <c r="D225" s="58" t="s">
        <v>676</v>
      </c>
      <c r="E225" s="63" t="s">
        <v>40</v>
      </c>
      <c r="F225" s="58" t="s">
        <v>677</v>
      </c>
      <c r="G225" s="63"/>
      <c r="H225" s="69">
        <v>0.55000000000000004</v>
      </c>
      <c r="I225" s="53">
        <f t="shared" si="4"/>
        <v>546</v>
      </c>
      <c r="J225" s="65"/>
      <c r="K225" s="63"/>
      <c r="L225" s="65"/>
      <c r="M225" s="63"/>
      <c r="N225" s="65">
        <v>546</v>
      </c>
      <c r="O225" s="66">
        <v>1.5</v>
      </c>
      <c r="P225" s="66">
        <v>1.5</v>
      </c>
      <c r="Q225" s="66">
        <v>1</v>
      </c>
      <c r="R225" s="66">
        <v>1</v>
      </c>
      <c r="S225" s="65"/>
      <c r="T225" s="66"/>
      <c r="U225" s="66"/>
      <c r="V225" s="66"/>
      <c r="W225" s="66"/>
      <c r="X225" s="63" t="s">
        <v>1297</v>
      </c>
      <c r="Y225" s="63" t="s">
        <v>1199</v>
      </c>
      <c r="Z225" s="63" t="s">
        <v>763</v>
      </c>
      <c r="AA225" s="63" t="s">
        <v>760</v>
      </c>
      <c r="AB225" s="63" t="s">
        <v>759</v>
      </c>
    </row>
    <row r="226" spans="1:28" x14ac:dyDescent="0.3">
      <c r="A226" s="50">
        <v>222</v>
      </c>
      <c r="B226" s="57" t="s">
        <v>103</v>
      </c>
      <c r="C226" s="57" t="s">
        <v>101</v>
      </c>
      <c r="D226" s="58" t="s">
        <v>155</v>
      </c>
      <c r="E226" s="57" t="s">
        <v>156</v>
      </c>
      <c r="F226" s="58" t="s">
        <v>686</v>
      </c>
      <c r="G226" s="57" t="s">
        <v>104</v>
      </c>
      <c r="H226" s="59">
        <v>2.14</v>
      </c>
      <c r="I226" s="53">
        <f t="shared" si="4"/>
        <v>1800</v>
      </c>
      <c r="J226" s="53"/>
      <c r="K226" s="68"/>
      <c r="L226" s="53"/>
      <c r="M226" s="54"/>
      <c r="N226" s="53">
        <f>1287+513</f>
        <v>1800</v>
      </c>
      <c r="O226" s="54">
        <v>2</v>
      </c>
      <c r="P226" s="54">
        <v>3</v>
      </c>
      <c r="Q226" s="54">
        <v>3</v>
      </c>
      <c r="R226" s="54">
        <v>4</v>
      </c>
      <c r="S226" s="53"/>
      <c r="T226" s="70"/>
      <c r="U226" s="61"/>
      <c r="V226" s="61"/>
      <c r="W226" s="54"/>
      <c r="X226" s="54" t="s">
        <v>1280</v>
      </c>
      <c r="Y226" s="54" t="s">
        <v>1199</v>
      </c>
      <c r="Z226" s="54" t="s">
        <v>763</v>
      </c>
      <c r="AA226" s="54" t="s">
        <v>1239</v>
      </c>
      <c r="AB226" s="54" t="s">
        <v>837</v>
      </c>
    </row>
    <row r="227" spans="1:28" x14ac:dyDescent="0.3">
      <c r="A227" s="50">
        <v>223</v>
      </c>
      <c r="B227" s="57" t="s">
        <v>60</v>
      </c>
      <c r="C227" s="57" t="s">
        <v>231</v>
      </c>
      <c r="D227" s="58" t="s">
        <v>327</v>
      </c>
      <c r="E227" s="57" t="s">
        <v>328</v>
      </c>
      <c r="F227" s="58" t="s">
        <v>329</v>
      </c>
      <c r="G227" s="57" t="s">
        <v>962</v>
      </c>
      <c r="H227" s="59">
        <v>3.79</v>
      </c>
      <c r="I227" s="53">
        <f t="shared" si="4"/>
        <v>2509</v>
      </c>
      <c r="J227" s="53"/>
      <c r="K227" s="54"/>
      <c r="L227" s="53"/>
      <c r="M227" s="54"/>
      <c r="N227" s="60">
        <f>1731+778</f>
        <v>2509</v>
      </c>
      <c r="O227" s="61">
        <v>2</v>
      </c>
      <c r="P227" s="61">
        <v>3</v>
      </c>
      <c r="Q227" s="61">
        <v>1.5</v>
      </c>
      <c r="R227" s="61">
        <v>4</v>
      </c>
      <c r="S227" s="60"/>
      <c r="T227" s="61"/>
      <c r="U227" s="61"/>
      <c r="V227" s="61"/>
      <c r="W227" s="54"/>
      <c r="X227" s="54" t="s">
        <v>1280</v>
      </c>
      <c r="Y227" s="54" t="s">
        <v>1199</v>
      </c>
      <c r="Z227" s="54" t="s">
        <v>763</v>
      </c>
      <c r="AA227" s="54" t="s">
        <v>760</v>
      </c>
      <c r="AB227" s="54" t="s">
        <v>759</v>
      </c>
    </row>
    <row r="228" spans="1:28" x14ac:dyDescent="0.3">
      <c r="A228" s="50">
        <v>224</v>
      </c>
      <c r="B228" s="57" t="s">
        <v>232</v>
      </c>
      <c r="C228" s="57" t="s">
        <v>320</v>
      </c>
      <c r="D228" s="58" t="s">
        <v>319</v>
      </c>
      <c r="E228" s="68" t="s">
        <v>10</v>
      </c>
      <c r="F228" s="58" t="s">
        <v>318</v>
      </c>
      <c r="G228" s="57" t="s">
        <v>959</v>
      </c>
      <c r="H228" s="59">
        <v>0.49</v>
      </c>
      <c r="I228" s="53">
        <f t="shared" si="4"/>
        <v>143</v>
      </c>
      <c r="J228" s="53"/>
      <c r="K228" s="54"/>
      <c r="L228" s="53"/>
      <c r="M228" s="54"/>
      <c r="N228" s="60"/>
      <c r="O228" s="61"/>
      <c r="P228" s="61"/>
      <c r="Q228" s="61"/>
      <c r="R228" s="61"/>
      <c r="S228" s="60">
        <v>143</v>
      </c>
      <c r="T228" s="61">
        <v>3.5</v>
      </c>
      <c r="U228" s="61">
        <v>3.5</v>
      </c>
      <c r="V228" s="61">
        <v>2</v>
      </c>
      <c r="W228" s="54">
        <v>2</v>
      </c>
      <c r="X228" s="54" t="s">
        <v>1280</v>
      </c>
      <c r="Y228" s="54" t="s">
        <v>765</v>
      </c>
      <c r="Z228" s="54" t="s">
        <v>763</v>
      </c>
      <c r="AA228" s="54"/>
      <c r="AB228" s="54"/>
    </row>
    <row r="229" spans="1:28" x14ac:dyDescent="0.3">
      <c r="A229" s="50">
        <v>225</v>
      </c>
      <c r="B229" s="63" t="s">
        <v>471</v>
      </c>
      <c r="C229" s="63" t="s">
        <v>60</v>
      </c>
      <c r="D229" s="58" t="s">
        <v>675</v>
      </c>
      <c r="E229" s="63" t="s">
        <v>59</v>
      </c>
      <c r="F229" s="63" t="s">
        <v>1334</v>
      </c>
      <c r="G229" s="58" t="s">
        <v>714</v>
      </c>
      <c r="H229" s="69">
        <v>0.28999999999999998</v>
      </c>
      <c r="I229" s="53">
        <f t="shared" si="4"/>
        <v>287</v>
      </c>
      <c r="J229" s="65"/>
      <c r="K229" s="63"/>
      <c r="L229" s="65"/>
      <c r="M229" s="63"/>
      <c r="N229" s="65">
        <v>287</v>
      </c>
      <c r="O229" s="66">
        <v>2</v>
      </c>
      <c r="P229" s="66">
        <v>2</v>
      </c>
      <c r="Q229" s="66">
        <v>3.5</v>
      </c>
      <c r="R229" s="66">
        <v>3.5</v>
      </c>
      <c r="S229" s="65"/>
      <c r="T229" s="66"/>
      <c r="U229" s="66"/>
      <c r="V229" s="66"/>
      <c r="W229" s="66"/>
      <c r="X229" s="63" t="s">
        <v>1297</v>
      </c>
      <c r="Y229" s="63" t="s">
        <v>1199</v>
      </c>
      <c r="Z229" s="63" t="s">
        <v>763</v>
      </c>
      <c r="AA229" s="63" t="s">
        <v>760</v>
      </c>
      <c r="AB229" s="63" t="s">
        <v>759</v>
      </c>
    </row>
    <row r="230" spans="1:28" x14ac:dyDescent="0.3">
      <c r="A230" s="50">
        <v>226</v>
      </c>
      <c r="B230" s="68" t="s">
        <v>470</v>
      </c>
      <c r="C230" s="63" t="s">
        <v>231</v>
      </c>
      <c r="D230" s="58" t="s">
        <v>671</v>
      </c>
      <c r="E230" s="63" t="s">
        <v>56</v>
      </c>
      <c r="F230" s="58" t="s">
        <v>672</v>
      </c>
      <c r="G230" s="58" t="s">
        <v>713</v>
      </c>
      <c r="H230" s="64">
        <v>0.28000000000000003</v>
      </c>
      <c r="I230" s="53">
        <f t="shared" si="4"/>
        <v>498</v>
      </c>
      <c r="J230" s="65"/>
      <c r="K230" s="63"/>
      <c r="L230" s="65"/>
      <c r="M230" s="63"/>
      <c r="N230" s="65">
        <f>257+241</f>
        <v>498</v>
      </c>
      <c r="O230" s="66">
        <v>3</v>
      </c>
      <c r="P230" s="66">
        <v>3</v>
      </c>
      <c r="Q230" s="66">
        <v>3</v>
      </c>
      <c r="R230" s="66">
        <v>3</v>
      </c>
      <c r="S230" s="65"/>
      <c r="T230" s="66"/>
      <c r="U230" s="66"/>
      <c r="V230" s="66"/>
      <c r="W230" s="66"/>
      <c r="X230" s="63" t="s">
        <v>1297</v>
      </c>
      <c r="Y230" s="63" t="s">
        <v>1199</v>
      </c>
      <c r="Z230" s="63" t="s">
        <v>763</v>
      </c>
      <c r="AA230" s="63" t="s">
        <v>760</v>
      </c>
      <c r="AB230" s="63" t="s">
        <v>759</v>
      </c>
    </row>
    <row r="231" spans="1:28" x14ac:dyDescent="0.3">
      <c r="A231" s="50">
        <v>227</v>
      </c>
      <c r="B231" s="50" t="s">
        <v>99</v>
      </c>
      <c r="C231" s="57" t="s">
        <v>189</v>
      </c>
      <c r="D231" s="58" t="s">
        <v>154</v>
      </c>
      <c r="E231" s="51" t="s">
        <v>187</v>
      </c>
      <c r="F231" s="58" t="s">
        <v>100</v>
      </c>
      <c r="G231" s="51" t="s">
        <v>102</v>
      </c>
      <c r="H231" s="71">
        <v>3.41</v>
      </c>
      <c r="I231" s="53">
        <f t="shared" si="4"/>
        <v>1783</v>
      </c>
      <c r="J231" s="53"/>
      <c r="K231" s="54"/>
      <c r="L231" s="53"/>
      <c r="M231" s="54"/>
      <c r="N231" s="53">
        <v>1783</v>
      </c>
      <c r="O231" s="54">
        <v>3</v>
      </c>
      <c r="P231" s="54">
        <v>3</v>
      </c>
      <c r="Q231" s="54">
        <v>3</v>
      </c>
      <c r="R231" s="54">
        <v>3</v>
      </c>
      <c r="S231" s="53"/>
      <c r="T231" s="70"/>
      <c r="U231" s="54"/>
      <c r="V231" s="54"/>
      <c r="W231" s="54"/>
      <c r="X231" s="54" t="s">
        <v>1280</v>
      </c>
      <c r="Y231" s="54" t="s">
        <v>1199</v>
      </c>
      <c r="Z231" s="54" t="s">
        <v>763</v>
      </c>
      <c r="AA231" s="54" t="s">
        <v>760</v>
      </c>
      <c r="AB231" s="54" t="s">
        <v>759</v>
      </c>
    </row>
    <row r="232" spans="1:28" x14ac:dyDescent="0.3">
      <c r="A232" s="50">
        <v>228</v>
      </c>
      <c r="B232" s="57" t="s">
        <v>231</v>
      </c>
      <c r="C232" s="57" t="s">
        <v>317</v>
      </c>
      <c r="D232" s="58" t="s">
        <v>316</v>
      </c>
      <c r="E232" s="57" t="s">
        <v>315</v>
      </c>
      <c r="F232" s="58" t="s">
        <v>109</v>
      </c>
      <c r="G232" s="57" t="s">
        <v>958</v>
      </c>
      <c r="H232" s="59">
        <v>16.649999999999999</v>
      </c>
      <c r="I232" s="53">
        <f t="shared" si="4"/>
        <v>1642</v>
      </c>
      <c r="J232" s="53"/>
      <c r="K232" s="54"/>
      <c r="L232" s="53"/>
      <c r="M232" s="54"/>
      <c r="N232" s="60">
        <f>853+789</f>
        <v>1642</v>
      </c>
      <c r="O232" s="61">
        <v>2</v>
      </c>
      <c r="P232" s="61">
        <v>3</v>
      </c>
      <c r="Q232" s="61">
        <v>2.8</v>
      </c>
      <c r="R232" s="61">
        <v>6.3</v>
      </c>
      <c r="S232" s="60"/>
      <c r="T232" s="61"/>
      <c r="U232" s="61"/>
      <c r="V232" s="61"/>
      <c r="W232" s="54"/>
      <c r="X232" s="54" t="s">
        <v>1134</v>
      </c>
      <c r="Y232" s="54" t="s">
        <v>1199</v>
      </c>
      <c r="Z232" s="54" t="s">
        <v>763</v>
      </c>
      <c r="AA232" s="54" t="s">
        <v>760</v>
      </c>
      <c r="AB232" s="54" t="s">
        <v>759</v>
      </c>
    </row>
    <row r="233" spans="1:28" x14ac:dyDescent="0.3">
      <c r="A233" s="50">
        <v>229</v>
      </c>
      <c r="B233" s="57" t="s">
        <v>107</v>
      </c>
      <c r="C233" s="57" t="s">
        <v>108</v>
      </c>
      <c r="D233" s="62" t="s">
        <v>110</v>
      </c>
      <c r="E233" s="57" t="s">
        <v>99</v>
      </c>
      <c r="F233" s="62" t="s">
        <v>109</v>
      </c>
      <c r="G233" s="57" t="s">
        <v>158</v>
      </c>
      <c r="H233" s="59">
        <v>5.26</v>
      </c>
      <c r="I233" s="53">
        <f t="shared" si="4"/>
        <v>1666</v>
      </c>
      <c r="J233" s="53"/>
      <c r="K233" s="54"/>
      <c r="L233" s="53"/>
      <c r="M233" s="54"/>
      <c r="N233" s="53">
        <f>1666</f>
        <v>1666</v>
      </c>
      <c r="O233" s="54">
        <v>2.5</v>
      </c>
      <c r="P233" s="61">
        <v>3</v>
      </c>
      <c r="Q233" s="61">
        <v>1.5</v>
      </c>
      <c r="R233" s="61">
        <v>2</v>
      </c>
      <c r="S233" s="60"/>
      <c r="T233" s="61"/>
      <c r="U233" s="61"/>
      <c r="V233" s="61"/>
      <c r="W233" s="54"/>
      <c r="X233" s="54" t="s">
        <v>1134</v>
      </c>
      <c r="Y233" s="54" t="s">
        <v>758</v>
      </c>
      <c r="Z233" s="54" t="s">
        <v>1240</v>
      </c>
      <c r="AA233" s="54" t="s">
        <v>760</v>
      </c>
      <c r="AB233" s="54" t="s">
        <v>759</v>
      </c>
    </row>
    <row r="234" spans="1:28" x14ac:dyDescent="0.3">
      <c r="A234" s="50">
        <v>230</v>
      </c>
      <c r="B234" s="63" t="s">
        <v>1412</v>
      </c>
      <c r="C234" s="63"/>
      <c r="D234" s="58" t="s">
        <v>669</v>
      </c>
      <c r="E234" s="63"/>
      <c r="F234" s="58" t="s">
        <v>670</v>
      </c>
      <c r="G234" s="63"/>
      <c r="H234" s="64">
        <v>0.17</v>
      </c>
      <c r="I234" s="53">
        <f t="shared" si="4"/>
        <v>172</v>
      </c>
      <c r="J234" s="65"/>
      <c r="K234" s="63"/>
      <c r="L234" s="65"/>
      <c r="M234" s="63"/>
      <c r="N234" s="65">
        <f>172</f>
        <v>172</v>
      </c>
      <c r="O234" s="66">
        <v>2</v>
      </c>
      <c r="P234" s="66">
        <v>2</v>
      </c>
      <c r="Q234" s="66">
        <v>2</v>
      </c>
      <c r="R234" s="66">
        <v>2</v>
      </c>
      <c r="S234" s="65"/>
      <c r="T234" s="66"/>
      <c r="U234" s="66"/>
      <c r="V234" s="66"/>
      <c r="W234" s="66"/>
      <c r="X234" s="63" t="s">
        <v>1293</v>
      </c>
      <c r="Y234" s="63" t="s">
        <v>758</v>
      </c>
      <c r="Z234" s="63" t="s">
        <v>759</v>
      </c>
      <c r="AA234" s="63" t="s">
        <v>760</v>
      </c>
      <c r="AB234" s="63" t="s">
        <v>759</v>
      </c>
    </row>
    <row r="235" spans="1:28" x14ac:dyDescent="0.3">
      <c r="A235" s="50">
        <v>231</v>
      </c>
      <c r="B235" s="63" t="s">
        <v>1414</v>
      </c>
      <c r="C235" s="63"/>
      <c r="D235" s="58" t="s">
        <v>666</v>
      </c>
      <c r="E235" s="63" t="s">
        <v>10</v>
      </c>
      <c r="F235" s="58" t="s">
        <v>665</v>
      </c>
      <c r="G235" s="72"/>
      <c r="H235" s="64">
        <v>0.1</v>
      </c>
      <c r="I235" s="53">
        <f t="shared" si="4"/>
        <v>97</v>
      </c>
      <c r="J235" s="65"/>
      <c r="K235" s="63"/>
      <c r="L235" s="65"/>
      <c r="M235" s="63"/>
      <c r="N235" s="65">
        <v>97</v>
      </c>
      <c r="O235" s="66">
        <v>1.3</v>
      </c>
      <c r="P235" s="66">
        <v>1.3</v>
      </c>
      <c r="Q235" s="66">
        <v>1.2</v>
      </c>
      <c r="R235" s="66">
        <v>1.2</v>
      </c>
      <c r="S235" s="65"/>
      <c r="T235" s="66"/>
      <c r="U235" s="66"/>
      <c r="V235" s="66"/>
      <c r="W235" s="66"/>
      <c r="X235" s="63" t="s">
        <v>1293</v>
      </c>
      <c r="Y235" s="63" t="s">
        <v>762</v>
      </c>
      <c r="Z235" s="63" t="s">
        <v>763</v>
      </c>
      <c r="AA235" s="63" t="s">
        <v>760</v>
      </c>
      <c r="AB235" s="63" t="s">
        <v>763</v>
      </c>
    </row>
    <row r="236" spans="1:28" x14ac:dyDescent="0.3">
      <c r="A236" s="50">
        <v>232</v>
      </c>
      <c r="B236" s="63" t="s">
        <v>1413</v>
      </c>
      <c r="C236" s="63"/>
      <c r="D236" s="58" t="s">
        <v>667</v>
      </c>
      <c r="E236" s="63"/>
      <c r="F236" s="58" t="s">
        <v>668</v>
      </c>
      <c r="G236" s="72"/>
      <c r="H236" s="64">
        <v>0.53</v>
      </c>
      <c r="I236" s="53">
        <f t="shared" si="4"/>
        <v>534</v>
      </c>
      <c r="J236" s="65"/>
      <c r="K236" s="63"/>
      <c r="L236" s="65"/>
      <c r="M236" s="63"/>
      <c r="N236" s="65">
        <f>313+221</f>
        <v>534</v>
      </c>
      <c r="O236" s="66">
        <v>1.5</v>
      </c>
      <c r="P236" s="66">
        <v>1.5</v>
      </c>
      <c r="Q236" s="66">
        <v>1.5</v>
      </c>
      <c r="R236" s="66">
        <v>1.5</v>
      </c>
      <c r="S236" s="65"/>
      <c r="T236" s="66"/>
      <c r="U236" s="66"/>
      <c r="V236" s="66"/>
      <c r="W236" s="66"/>
      <c r="X236" s="63" t="s">
        <v>1293</v>
      </c>
      <c r="Y236" s="63" t="s">
        <v>758</v>
      </c>
      <c r="Z236" s="63" t="s">
        <v>759</v>
      </c>
      <c r="AA236" s="63" t="s">
        <v>760</v>
      </c>
      <c r="AB236" s="63" t="s">
        <v>759</v>
      </c>
    </row>
    <row r="237" spans="1:28" x14ac:dyDescent="0.3">
      <c r="A237" s="50">
        <v>233</v>
      </c>
      <c r="B237" s="57" t="s">
        <v>230</v>
      </c>
      <c r="C237" s="57" t="s">
        <v>188</v>
      </c>
      <c r="D237" s="58" t="s">
        <v>314</v>
      </c>
      <c r="E237" s="57" t="s">
        <v>231</v>
      </c>
      <c r="F237" s="58" t="s">
        <v>313</v>
      </c>
      <c r="G237" s="57"/>
      <c r="H237" s="59">
        <v>1.73</v>
      </c>
      <c r="I237" s="53">
        <f t="shared" si="4"/>
        <v>270</v>
      </c>
      <c r="J237" s="53"/>
      <c r="K237" s="54"/>
      <c r="L237" s="53"/>
      <c r="M237" s="54"/>
      <c r="N237" s="60"/>
      <c r="O237" s="61"/>
      <c r="P237" s="61"/>
      <c r="Q237" s="61"/>
      <c r="R237" s="61"/>
      <c r="S237" s="60">
        <f>132+138</f>
        <v>270</v>
      </c>
      <c r="T237" s="61">
        <v>2.5</v>
      </c>
      <c r="U237" s="61">
        <v>2.5</v>
      </c>
      <c r="V237" s="61">
        <v>1.2</v>
      </c>
      <c r="W237" s="54">
        <v>1.2</v>
      </c>
      <c r="X237" s="54" t="s">
        <v>1407</v>
      </c>
      <c r="Y237" s="54" t="s">
        <v>1199</v>
      </c>
      <c r="Z237" s="54" t="s">
        <v>763</v>
      </c>
      <c r="AA237" s="54"/>
      <c r="AB237" s="54"/>
    </row>
    <row r="238" spans="1:28" x14ac:dyDescent="0.3">
      <c r="A238" s="50">
        <v>234</v>
      </c>
      <c r="B238" s="57" t="s">
        <v>28</v>
      </c>
      <c r="C238" s="57" t="s">
        <v>184</v>
      </c>
      <c r="D238" s="57" t="s">
        <v>1287</v>
      </c>
      <c r="E238" s="57" t="s">
        <v>1288</v>
      </c>
      <c r="F238" s="57" t="s">
        <v>1289</v>
      </c>
      <c r="G238" s="57" t="s">
        <v>1290</v>
      </c>
      <c r="H238" s="59">
        <v>3.07</v>
      </c>
      <c r="I238" s="53">
        <f t="shared" si="4"/>
        <v>158</v>
      </c>
      <c r="J238" s="53"/>
      <c r="K238" s="54"/>
      <c r="L238" s="53"/>
      <c r="M238" s="54"/>
      <c r="N238" s="60">
        <f>37+59+62</f>
        <v>158</v>
      </c>
      <c r="O238" s="61">
        <v>1.5</v>
      </c>
      <c r="P238" s="61">
        <v>2.5</v>
      </c>
      <c r="Q238" s="61">
        <v>2</v>
      </c>
      <c r="R238" s="61">
        <v>2</v>
      </c>
      <c r="S238" s="60"/>
      <c r="T238" s="61"/>
      <c r="U238" s="61"/>
      <c r="V238" s="61"/>
      <c r="W238" s="54"/>
      <c r="X238" s="54" t="s">
        <v>1280</v>
      </c>
      <c r="Y238" s="54" t="s">
        <v>762</v>
      </c>
      <c r="Z238" s="54" t="s">
        <v>763</v>
      </c>
      <c r="AA238" s="54" t="s">
        <v>760</v>
      </c>
      <c r="AB238" s="54" t="s">
        <v>837</v>
      </c>
    </row>
    <row r="239" spans="1:28" x14ac:dyDescent="0.3">
      <c r="A239" s="50">
        <v>235</v>
      </c>
      <c r="B239" s="57" t="s">
        <v>219</v>
      </c>
      <c r="C239" s="57" t="s">
        <v>948</v>
      </c>
      <c r="D239" s="58" t="s">
        <v>949</v>
      </c>
      <c r="E239" s="57" t="s">
        <v>950</v>
      </c>
      <c r="F239" s="58" t="s">
        <v>300</v>
      </c>
      <c r="G239" s="57" t="s">
        <v>951</v>
      </c>
      <c r="H239" s="59">
        <v>0.17</v>
      </c>
      <c r="I239" s="53">
        <f t="shared" si="4"/>
        <v>290</v>
      </c>
      <c r="J239" s="53"/>
      <c r="K239" s="54"/>
      <c r="L239" s="53"/>
      <c r="M239" s="54"/>
      <c r="N239" s="60"/>
      <c r="O239" s="61"/>
      <c r="P239" s="61"/>
      <c r="Q239" s="61"/>
      <c r="R239" s="61"/>
      <c r="S239" s="60">
        <f>152+138</f>
        <v>290</v>
      </c>
      <c r="T239" s="61">
        <v>3</v>
      </c>
      <c r="U239" s="61">
        <v>4</v>
      </c>
      <c r="V239" s="61">
        <v>1.8</v>
      </c>
      <c r="W239" s="54">
        <v>2.8</v>
      </c>
      <c r="X239" s="54" t="s">
        <v>1284</v>
      </c>
      <c r="Y239" s="54" t="s">
        <v>1241</v>
      </c>
      <c r="Z239" s="54" t="s">
        <v>1231</v>
      </c>
      <c r="AA239" s="54"/>
      <c r="AB239" s="54"/>
    </row>
    <row r="240" spans="1:28" x14ac:dyDescent="0.3">
      <c r="A240" s="50">
        <v>236</v>
      </c>
      <c r="B240" s="57" t="s">
        <v>188</v>
      </c>
      <c r="C240" s="73" t="s">
        <v>306</v>
      </c>
      <c r="D240" s="58" t="s">
        <v>307</v>
      </c>
      <c r="E240" s="57" t="s">
        <v>956</v>
      </c>
      <c r="F240" s="58" t="s">
        <v>308</v>
      </c>
      <c r="G240" s="57" t="s">
        <v>957</v>
      </c>
      <c r="H240" s="59">
        <v>1.51</v>
      </c>
      <c r="I240" s="53">
        <f t="shared" si="4"/>
        <v>93</v>
      </c>
      <c r="J240" s="53"/>
      <c r="K240" s="54"/>
      <c r="L240" s="53"/>
      <c r="M240" s="54"/>
      <c r="N240" s="60"/>
      <c r="O240" s="61"/>
      <c r="P240" s="61"/>
      <c r="Q240" s="61"/>
      <c r="R240" s="61"/>
      <c r="S240" s="60">
        <v>93</v>
      </c>
      <c r="T240" s="61">
        <v>3</v>
      </c>
      <c r="U240" s="61">
        <v>3</v>
      </c>
      <c r="V240" s="61">
        <v>3</v>
      </c>
      <c r="W240" s="54">
        <v>3</v>
      </c>
      <c r="X240" s="54" t="s">
        <v>1282</v>
      </c>
      <c r="Y240" s="54" t="s">
        <v>760</v>
      </c>
      <c r="Z240" s="54" t="s">
        <v>759</v>
      </c>
      <c r="AA240" s="54"/>
      <c r="AB240" s="54"/>
    </row>
    <row r="241" spans="1:28" x14ac:dyDescent="0.3">
      <c r="A241" s="50">
        <v>237</v>
      </c>
      <c r="B241" s="57" t="s">
        <v>188</v>
      </c>
      <c r="C241" s="57" t="s">
        <v>306</v>
      </c>
      <c r="D241" s="58" t="s">
        <v>307</v>
      </c>
      <c r="E241" s="57" t="s">
        <v>310</v>
      </c>
      <c r="F241" s="58" t="s">
        <v>309</v>
      </c>
      <c r="G241" s="57"/>
      <c r="H241" s="59" t="s">
        <v>1278</v>
      </c>
      <c r="I241" s="53">
        <f t="shared" si="4"/>
        <v>502</v>
      </c>
      <c r="J241" s="53"/>
      <c r="K241" s="54"/>
      <c r="L241" s="53"/>
      <c r="M241" s="54"/>
      <c r="N241" s="60">
        <f>244+258</f>
        <v>502</v>
      </c>
      <c r="O241" s="61">
        <v>2</v>
      </c>
      <c r="P241" s="61">
        <v>2</v>
      </c>
      <c r="Q241" s="61">
        <v>1.8</v>
      </c>
      <c r="R241" s="61">
        <v>1.8</v>
      </c>
      <c r="S241" s="60"/>
      <c r="T241" s="61"/>
      <c r="U241" s="61"/>
      <c r="V241" s="61"/>
      <c r="W241" s="54"/>
      <c r="X241" s="54"/>
      <c r="Y241" s="54" t="s">
        <v>762</v>
      </c>
      <c r="Z241" s="54" t="s">
        <v>763</v>
      </c>
      <c r="AA241" s="54" t="s">
        <v>760</v>
      </c>
      <c r="AB241" s="54" t="s">
        <v>759</v>
      </c>
    </row>
    <row r="242" spans="1:28" x14ac:dyDescent="0.3">
      <c r="A242" s="50">
        <v>238</v>
      </c>
      <c r="B242" s="57" t="s">
        <v>188</v>
      </c>
      <c r="C242" s="57" t="s">
        <v>310</v>
      </c>
      <c r="D242" s="67" t="s">
        <v>309</v>
      </c>
      <c r="E242" s="57" t="s">
        <v>312</v>
      </c>
      <c r="F242" s="58" t="s">
        <v>311</v>
      </c>
      <c r="G242" s="57" t="s">
        <v>957</v>
      </c>
      <c r="H242" s="59" t="s">
        <v>1278</v>
      </c>
      <c r="I242" s="53">
        <f t="shared" si="4"/>
        <v>963</v>
      </c>
      <c r="J242" s="53"/>
      <c r="K242" s="54"/>
      <c r="L242" s="53"/>
      <c r="M242" s="54"/>
      <c r="N242" s="60"/>
      <c r="O242" s="61"/>
      <c r="P242" s="61"/>
      <c r="Q242" s="61"/>
      <c r="R242" s="61"/>
      <c r="S242" s="60">
        <f>415+548</f>
        <v>963</v>
      </c>
      <c r="T242" s="61">
        <v>2.5</v>
      </c>
      <c r="U242" s="61">
        <v>3</v>
      </c>
      <c r="V242" s="61">
        <v>1.3</v>
      </c>
      <c r="W242" s="54">
        <v>1.8</v>
      </c>
      <c r="X242" s="54"/>
      <c r="Y242" s="54" t="s">
        <v>760</v>
      </c>
      <c r="Z242" s="54" t="s">
        <v>759</v>
      </c>
      <c r="AA242" s="54"/>
      <c r="AB242" s="54"/>
    </row>
    <row r="243" spans="1:28" s="1" customFormat="1" hidden="1" x14ac:dyDescent="0.3">
      <c r="A243" s="2">
        <v>239</v>
      </c>
      <c r="B243" s="18" t="s">
        <v>1411</v>
      </c>
      <c r="C243" s="4"/>
      <c r="D243" s="12" t="s">
        <v>579</v>
      </c>
      <c r="E243" s="9" t="s">
        <v>581</v>
      </c>
      <c r="F243" s="12" t="s">
        <v>580</v>
      </c>
      <c r="G243" s="9"/>
      <c r="H243" s="40">
        <v>0.6</v>
      </c>
      <c r="I243" s="30">
        <f t="shared" si="4"/>
        <v>1188</v>
      </c>
      <c r="J243" s="31"/>
      <c r="K243" s="9"/>
      <c r="L243" s="31"/>
      <c r="M243" s="9"/>
      <c r="N243" s="31"/>
      <c r="O243" s="22"/>
      <c r="P243" s="22"/>
      <c r="Q243" s="22"/>
      <c r="R243" s="22"/>
      <c r="S243" s="31">
        <f>581+607</f>
        <v>1188</v>
      </c>
      <c r="T243" s="22">
        <v>4</v>
      </c>
      <c r="U243" s="22">
        <v>4</v>
      </c>
      <c r="V243" s="22">
        <v>4</v>
      </c>
      <c r="W243" s="22">
        <v>4</v>
      </c>
      <c r="X243" s="9" t="s">
        <v>1294</v>
      </c>
      <c r="Y243" s="9" t="s">
        <v>760</v>
      </c>
      <c r="Z243" s="9" t="s">
        <v>759</v>
      </c>
      <c r="AA243" s="9"/>
      <c r="AB243" s="9"/>
    </row>
    <row r="244" spans="1:28" s="1" customFormat="1" hidden="1" x14ac:dyDescent="0.3">
      <c r="A244" s="2">
        <v>240</v>
      </c>
      <c r="B244" s="4" t="s">
        <v>1092</v>
      </c>
      <c r="C244" s="9"/>
      <c r="D244" s="12" t="s">
        <v>519</v>
      </c>
      <c r="E244" s="9"/>
      <c r="F244" s="12" t="s">
        <v>739</v>
      </c>
      <c r="G244" s="9" t="s">
        <v>520</v>
      </c>
      <c r="H244" s="40">
        <v>17.05</v>
      </c>
      <c r="I244" s="30">
        <f t="shared" si="4"/>
        <v>773</v>
      </c>
      <c r="J244" s="31"/>
      <c r="K244" s="9"/>
      <c r="L244" s="31"/>
      <c r="M244" s="9"/>
      <c r="N244" s="31">
        <f>390+383</f>
        <v>773</v>
      </c>
      <c r="O244" s="22">
        <v>2</v>
      </c>
      <c r="P244" s="22">
        <v>2</v>
      </c>
      <c r="Q244" s="22">
        <v>2.8</v>
      </c>
      <c r="R244" s="22">
        <v>2.8</v>
      </c>
      <c r="S244" s="31"/>
      <c r="T244" s="22"/>
      <c r="U244" s="22"/>
      <c r="V244" s="22"/>
      <c r="W244" s="22"/>
      <c r="X244" s="9" t="s">
        <v>1294</v>
      </c>
      <c r="Y244" s="9" t="s">
        <v>1199</v>
      </c>
      <c r="Z244" s="9" t="s">
        <v>763</v>
      </c>
      <c r="AA244" s="9" t="s">
        <v>760</v>
      </c>
      <c r="AB244" s="9" t="s">
        <v>759</v>
      </c>
    </row>
    <row r="245" spans="1:28" s="1" customFormat="1" hidden="1" x14ac:dyDescent="0.3">
      <c r="A245" s="2">
        <v>241</v>
      </c>
      <c r="B245" s="4" t="s">
        <v>1432</v>
      </c>
      <c r="C245" s="9" t="s">
        <v>1436</v>
      </c>
      <c r="D245" s="12" t="s">
        <v>1437</v>
      </c>
      <c r="E245" s="9" t="s">
        <v>1438</v>
      </c>
      <c r="F245" s="12" t="s">
        <v>1439</v>
      </c>
      <c r="G245" s="9" t="s">
        <v>1440</v>
      </c>
      <c r="H245" s="40"/>
      <c r="I245" s="30">
        <f t="shared" si="4"/>
        <v>1525</v>
      </c>
      <c r="J245" s="31"/>
      <c r="K245" s="9"/>
      <c r="L245" s="31"/>
      <c r="M245" s="9"/>
      <c r="N245" s="31"/>
      <c r="O245" s="22"/>
      <c r="P245" s="22"/>
      <c r="Q245" s="22"/>
      <c r="R245" s="22"/>
      <c r="S245" s="31">
        <f>1525</f>
        <v>1525</v>
      </c>
      <c r="T245" s="22">
        <v>3</v>
      </c>
      <c r="U245" s="22">
        <v>4</v>
      </c>
      <c r="V245" s="22">
        <v>3</v>
      </c>
      <c r="W245" s="22">
        <v>3</v>
      </c>
      <c r="X245" s="9" t="s">
        <v>1433</v>
      </c>
      <c r="Y245" s="9" t="s">
        <v>1434</v>
      </c>
      <c r="Z245" s="9" t="s">
        <v>1435</v>
      </c>
      <c r="AA245" s="9"/>
      <c r="AB245" s="9"/>
    </row>
    <row r="246" spans="1:28" s="1" customFormat="1" hidden="1" x14ac:dyDescent="0.3">
      <c r="A246" s="2">
        <v>242</v>
      </c>
      <c r="B246" s="19" t="s">
        <v>1301</v>
      </c>
      <c r="C246" s="9"/>
      <c r="D246" s="12" t="s">
        <v>633</v>
      </c>
      <c r="E246" s="9" t="s">
        <v>635</v>
      </c>
      <c r="F246" s="12" t="s">
        <v>634</v>
      </c>
      <c r="G246" s="9"/>
      <c r="H246" s="40">
        <v>0.51</v>
      </c>
      <c r="I246" s="30">
        <f t="shared" si="4"/>
        <v>512</v>
      </c>
      <c r="J246" s="31"/>
      <c r="K246" s="9"/>
      <c r="L246" s="31"/>
      <c r="M246" s="9"/>
      <c r="N246" s="31">
        <v>512</v>
      </c>
      <c r="O246" s="22">
        <v>1.5</v>
      </c>
      <c r="P246" s="22">
        <v>1.5</v>
      </c>
      <c r="Q246" s="22">
        <v>1.5</v>
      </c>
      <c r="R246" s="22">
        <v>1.5</v>
      </c>
      <c r="S246" s="31"/>
      <c r="T246" s="22"/>
      <c r="U246" s="22"/>
      <c r="V246" s="22"/>
      <c r="W246" s="22"/>
      <c r="X246" s="9" t="s">
        <v>1293</v>
      </c>
      <c r="Y246" s="9" t="s">
        <v>762</v>
      </c>
      <c r="Z246" s="9" t="s">
        <v>1244</v>
      </c>
      <c r="AA246" s="9" t="s">
        <v>765</v>
      </c>
      <c r="AB246" s="9" t="s">
        <v>1244</v>
      </c>
    </row>
    <row r="247" spans="1:28" s="1" customFormat="1" hidden="1" x14ac:dyDescent="0.3">
      <c r="A247" s="2">
        <v>243</v>
      </c>
      <c r="B247" s="4" t="s">
        <v>1095</v>
      </c>
      <c r="C247" s="9" t="s">
        <v>521</v>
      </c>
      <c r="D247" s="12" t="s">
        <v>526</v>
      </c>
      <c r="E247" s="9" t="s">
        <v>527</v>
      </c>
      <c r="F247" s="12" t="s">
        <v>528</v>
      </c>
      <c r="G247" s="9" t="s">
        <v>1096</v>
      </c>
      <c r="H247" s="40">
        <v>0.71</v>
      </c>
      <c r="I247" s="30">
        <f t="shared" si="4"/>
        <v>1423</v>
      </c>
      <c r="J247" s="31"/>
      <c r="K247" s="9"/>
      <c r="L247" s="31"/>
      <c r="M247" s="9"/>
      <c r="N247" s="31">
        <f>727+696</f>
        <v>1423</v>
      </c>
      <c r="O247" s="22">
        <v>1.5</v>
      </c>
      <c r="P247" s="22">
        <v>1.5</v>
      </c>
      <c r="Q247" s="22">
        <v>2.5</v>
      </c>
      <c r="R247" s="22">
        <v>2.5</v>
      </c>
      <c r="S247" s="31"/>
      <c r="T247" s="22"/>
      <c r="U247" s="22"/>
      <c r="V247" s="22"/>
      <c r="W247" s="22"/>
      <c r="X247" s="9" t="s">
        <v>1297</v>
      </c>
      <c r="Y247" s="9" t="s">
        <v>762</v>
      </c>
      <c r="Z247" s="9" t="s">
        <v>763</v>
      </c>
      <c r="AA247" s="9" t="s">
        <v>760</v>
      </c>
      <c r="AB247" s="9" t="s">
        <v>759</v>
      </c>
    </row>
    <row r="248" spans="1:28" s="1" customFormat="1" hidden="1" x14ac:dyDescent="0.3">
      <c r="A248" s="2">
        <v>244</v>
      </c>
      <c r="B248" s="4" t="s">
        <v>1097</v>
      </c>
      <c r="C248" s="9" t="s">
        <v>529</v>
      </c>
      <c r="D248" s="12" t="s">
        <v>526</v>
      </c>
      <c r="E248" s="9" t="s">
        <v>530</v>
      </c>
      <c r="F248" s="12" t="s">
        <v>531</v>
      </c>
      <c r="G248" s="9" t="s">
        <v>1098</v>
      </c>
      <c r="H248" s="40">
        <v>0.48</v>
      </c>
      <c r="I248" s="30">
        <f t="shared" si="4"/>
        <v>976</v>
      </c>
      <c r="J248" s="31"/>
      <c r="K248" s="9"/>
      <c r="L248" s="31"/>
      <c r="M248" s="9"/>
      <c r="N248" s="31">
        <f>483+493</f>
        <v>976</v>
      </c>
      <c r="O248" s="22">
        <v>1.5</v>
      </c>
      <c r="P248" s="22">
        <v>1.5</v>
      </c>
      <c r="Q248" s="22">
        <v>1.5</v>
      </c>
      <c r="R248" s="22">
        <v>2.5</v>
      </c>
      <c r="S248" s="31"/>
      <c r="T248" s="22"/>
      <c r="U248" s="22"/>
      <c r="V248" s="22"/>
      <c r="W248" s="22"/>
      <c r="X248" s="9" t="s">
        <v>1297</v>
      </c>
      <c r="Y248" s="9" t="s">
        <v>1199</v>
      </c>
      <c r="Z248" s="9" t="s">
        <v>763</v>
      </c>
      <c r="AA248" s="9" t="s">
        <v>760</v>
      </c>
      <c r="AB248" s="9" t="s">
        <v>759</v>
      </c>
    </row>
    <row r="249" spans="1:28" s="1" customFormat="1" hidden="1" x14ac:dyDescent="0.3">
      <c r="A249" s="2">
        <v>245</v>
      </c>
      <c r="B249" s="4" t="s">
        <v>738</v>
      </c>
      <c r="C249" s="9" t="s">
        <v>529</v>
      </c>
      <c r="D249" s="9" t="s">
        <v>1337</v>
      </c>
      <c r="E249" s="9" t="s">
        <v>532</v>
      </c>
      <c r="F249" s="12" t="s">
        <v>533</v>
      </c>
      <c r="G249" s="9" t="s">
        <v>1338</v>
      </c>
      <c r="H249" s="40">
        <v>0.4</v>
      </c>
      <c r="I249" s="30">
        <f t="shared" si="4"/>
        <v>808</v>
      </c>
      <c r="J249" s="31"/>
      <c r="K249" s="9"/>
      <c r="L249" s="31"/>
      <c r="M249" s="9"/>
      <c r="N249" s="31">
        <f>404+404</f>
        <v>808</v>
      </c>
      <c r="O249" s="22">
        <v>1.5</v>
      </c>
      <c r="P249" s="22">
        <v>1.5</v>
      </c>
      <c r="Q249" s="22">
        <v>1.5</v>
      </c>
      <c r="R249" s="22">
        <v>2.5</v>
      </c>
      <c r="S249" s="31"/>
      <c r="T249" s="22"/>
      <c r="U249" s="22"/>
      <c r="V249" s="22"/>
      <c r="W249" s="22"/>
      <c r="X249" s="9" t="s">
        <v>1297</v>
      </c>
      <c r="Y249" s="9" t="s">
        <v>762</v>
      </c>
      <c r="Z249" s="9" t="s">
        <v>763</v>
      </c>
      <c r="AA249" s="9" t="s">
        <v>760</v>
      </c>
      <c r="AB249" s="9" t="s">
        <v>759</v>
      </c>
    </row>
    <row r="250" spans="1:28" s="1" customFormat="1" hidden="1" x14ac:dyDescent="0.3">
      <c r="A250" s="2">
        <v>246</v>
      </c>
      <c r="B250" s="4" t="s">
        <v>1099</v>
      </c>
      <c r="C250" s="9" t="s">
        <v>529</v>
      </c>
      <c r="D250" s="9" t="s">
        <v>1339</v>
      </c>
      <c r="E250" s="9" t="s">
        <v>530</v>
      </c>
      <c r="F250" s="12" t="s">
        <v>534</v>
      </c>
      <c r="G250" s="9" t="s">
        <v>1340</v>
      </c>
      <c r="H250" s="40">
        <v>0.97</v>
      </c>
      <c r="I250" s="30">
        <f t="shared" si="4"/>
        <v>1285</v>
      </c>
      <c r="J250" s="31"/>
      <c r="K250" s="9"/>
      <c r="L250" s="31"/>
      <c r="M250" s="9"/>
      <c r="N250" s="31">
        <f>665+620</f>
        <v>1285</v>
      </c>
      <c r="O250" s="22">
        <v>1.5</v>
      </c>
      <c r="P250" s="22">
        <v>1.5</v>
      </c>
      <c r="Q250" s="22">
        <v>2.5</v>
      </c>
      <c r="R250" s="22">
        <v>2.5</v>
      </c>
      <c r="S250" s="31"/>
      <c r="T250" s="22"/>
      <c r="U250" s="22"/>
      <c r="V250" s="22"/>
      <c r="W250" s="22"/>
      <c r="X250" s="9" t="s">
        <v>1294</v>
      </c>
      <c r="Y250" s="9" t="s">
        <v>1199</v>
      </c>
      <c r="Z250" s="9" t="s">
        <v>763</v>
      </c>
      <c r="AA250" s="9" t="s">
        <v>760</v>
      </c>
      <c r="AB250" s="9" t="s">
        <v>759</v>
      </c>
    </row>
    <row r="251" spans="1:28" s="1" customFormat="1" hidden="1" x14ac:dyDescent="0.3">
      <c r="A251" s="2">
        <v>247</v>
      </c>
      <c r="B251" s="4" t="s">
        <v>1100</v>
      </c>
      <c r="C251" s="9" t="s">
        <v>532</v>
      </c>
      <c r="D251" s="12" t="s">
        <v>535</v>
      </c>
      <c r="E251" s="9" t="s">
        <v>530</v>
      </c>
      <c r="F251" s="12" t="s">
        <v>536</v>
      </c>
      <c r="G251" s="9" t="s">
        <v>1101</v>
      </c>
      <c r="H251" s="40">
        <v>0.21</v>
      </c>
      <c r="I251" s="30">
        <f t="shared" si="4"/>
        <v>419</v>
      </c>
      <c r="J251" s="31"/>
      <c r="K251" s="9"/>
      <c r="L251" s="31"/>
      <c r="M251" s="9"/>
      <c r="N251" s="31">
        <f>209+210</f>
        <v>419</v>
      </c>
      <c r="O251" s="22">
        <v>1.5</v>
      </c>
      <c r="P251" s="22">
        <v>1.5</v>
      </c>
      <c r="Q251" s="22">
        <v>2.5</v>
      </c>
      <c r="R251" s="22">
        <v>2.5</v>
      </c>
      <c r="S251" s="31"/>
      <c r="T251" s="22"/>
      <c r="U251" s="22"/>
      <c r="V251" s="22"/>
      <c r="W251" s="22"/>
      <c r="X251" s="9" t="s">
        <v>1406</v>
      </c>
      <c r="Y251" s="9" t="s">
        <v>765</v>
      </c>
      <c r="Z251" s="9" t="s">
        <v>763</v>
      </c>
      <c r="AA251" s="9" t="s">
        <v>760</v>
      </c>
      <c r="AB251" s="9" t="s">
        <v>759</v>
      </c>
    </row>
    <row r="252" spans="1:28" s="1" customFormat="1" hidden="1" x14ac:dyDescent="0.3">
      <c r="A252" s="2">
        <v>248</v>
      </c>
      <c r="B252" s="4" t="s">
        <v>1093</v>
      </c>
      <c r="C252" s="9" t="s">
        <v>36</v>
      </c>
      <c r="D252" s="12" t="s">
        <v>523</v>
      </c>
      <c r="E252" s="9" t="s">
        <v>521</v>
      </c>
      <c r="F252" s="12" t="s">
        <v>522</v>
      </c>
      <c r="G252" s="9"/>
      <c r="H252" s="40">
        <v>2.0299999999999998</v>
      </c>
      <c r="I252" s="30">
        <f t="shared" si="4"/>
        <v>246</v>
      </c>
      <c r="J252" s="31"/>
      <c r="K252" s="9"/>
      <c r="L252" s="31"/>
      <c r="M252" s="9"/>
      <c r="N252" s="31"/>
      <c r="O252" s="22"/>
      <c r="P252" s="22"/>
      <c r="Q252" s="22"/>
      <c r="R252" s="22"/>
      <c r="S252" s="31">
        <f>246</f>
        <v>246</v>
      </c>
      <c r="T252" s="22">
        <v>3</v>
      </c>
      <c r="U252" s="22">
        <v>3</v>
      </c>
      <c r="V252" s="22">
        <v>3</v>
      </c>
      <c r="W252" s="22">
        <v>3</v>
      </c>
      <c r="X252" s="9" t="s">
        <v>1294</v>
      </c>
      <c r="Y252" s="9" t="s">
        <v>1199</v>
      </c>
      <c r="Z252" s="9" t="s">
        <v>763</v>
      </c>
      <c r="AA252" s="9"/>
      <c r="AB252" s="9"/>
    </row>
    <row r="253" spans="1:28" s="1" customFormat="1" hidden="1" x14ac:dyDescent="0.3">
      <c r="A253" s="2">
        <v>249</v>
      </c>
      <c r="B253" s="4" t="s">
        <v>1093</v>
      </c>
      <c r="C253" s="9" t="s">
        <v>521</v>
      </c>
      <c r="D253" s="12" t="s">
        <v>522</v>
      </c>
      <c r="E253" s="9" t="s">
        <v>524</v>
      </c>
      <c r="F253" s="12" t="s">
        <v>525</v>
      </c>
      <c r="G253" s="9" t="s">
        <v>1094</v>
      </c>
      <c r="H253" s="40" t="s">
        <v>1278</v>
      </c>
      <c r="I253" s="30">
        <f t="shared" si="4"/>
        <v>3462</v>
      </c>
      <c r="J253" s="31"/>
      <c r="K253" s="9"/>
      <c r="L253" s="31"/>
      <c r="M253" s="9"/>
      <c r="N253" s="31">
        <f>1736+1726</f>
        <v>3462</v>
      </c>
      <c r="O253" s="22">
        <v>1.5</v>
      </c>
      <c r="P253" s="22">
        <v>2</v>
      </c>
      <c r="Q253" s="22">
        <v>2.5</v>
      </c>
      <c r="R253" s="22">
        <v>3.5</v>
      </c>
      <c r="S253" s="31"/>
      <c r="T253" s="22"/>
      <c r="U253" s="22"/>
      <c r="V253" s="22"/>
      <c r="W253" s="22"/>
      <c r="X253" s="9"/>
      <c r="Y253" s="9" t="s">
        <v>762</v>
      </c>
      <c r="Z253" s="9" t="s">
        <v>763</v>
      </c>
      <c r="AA253" s="9" t="s">
        <v>760</v>
      </c>
      <c r="AB253" s="9" t="s">
        <v>759</v>
      </c>
    </row>
    <row r="254" spans="1:28" s="1" customFormat="1" hidden="1" x14ac:dyDescent="0.3">
      <c r="A254" s="2">
        <v>250</v>
      </c>
      <c r="B254" s="11" t="s">
        <v>447</v>
      </c>
      <c r="C254" s="9" t="s">
        <v>532</v>
      </c>
      <c r="D254" s="9" t="s">
        <v>1346</v>
      </c>
      <c r="E254" s="9" t="s">
        <v>530</v>
      </c>
      <c r="F254" s="12" t="s">
        <v>641</v>
      </c>
      <c r="G254" s="9" t="s">
        <v>1347</v>
      </c>
      <c r="H254" s="40">
        <v>0.24</v>
      </c>
      <c r="I254" s="30">
        <f t="shared" si="4"/>
        <v>233</v>
      </c>
      <c r="J254" s="31"/>
      <c r="K254" s="9"/>
      <c r="L254" s="31"/>
      <c r="M254" s="9"/>
      <c r="N254" s="31">
        <v>233</v>
      </c>
      <c r="O254" s="22">
        <v>1.5</v>
      </c>
      <c r="P254" s="22">
        <v>1.5</v>
      </c>
      <c r="Q254" s="22">
        <v>1.5</v>
      </c>
      <c r="R254" s="22">
        <v>1.5</v>
      </c>
      <c r="S254" s="31"/>
      <c r="T254" s="22"/>
      <c r="U254" s="22"/>
      <c r="V254" s="22"/>
      <c r="W254" s="22"/>
      <c r="X254" s="9" t="s">
        <v>1294</v>
      </c>
      <c r="Y254" s="9" t="s">
        <v>762</v>
      </c>
      <c r="Z254" s="9" t="s">
        <v>763</v>
      </c>
      <c r="AA254" s="9" t="s">
        <v>760</v>
      </c>
      <c r="AB254" s="9" t="s">
        <v>759</v>
      </c>
    </row>
    <row r="255" spans="1:28" s="1" customFormat="1" hidden="1" x14ac:dyDescent="0.3">
      <c r="A255" s="2">
        <v>251</v>
      </c>
      <c r="B255" s="4" t="s">
        <v>524</v>
      </c>
      <c r="C255" s="9" t="s">
        <v>539</v>
      </c>
      <c r="D255" s="12" t="s">
        <v>538</v>
      </c>
      <c r="E255" s="9" t="s">
        <v>532</v>
      </c>
      <c r="F255" s="12" t="s">
        <v>537</v>
      </c>
      <c r="G255" s="9" t="s">
        <v>1102</v>
      </c>
      <c r="H255" s="40">
        <v>6.48</v>
      </c>
      <c r="I255" s="30">
        <f t="shared" si="4"/>
        <v>7663</v>
      </c>
      <c r="J255" s="31"/>
      <c r="K255" s="9"/>
      <c r="L255" s="31"/>
      <c r="M255" s="9"/>
      <c r="N255" s="31">
        <f>3813+3850</f>
        <v>7663</v>
      </c>
      <c r="O255" s="22">
        <v>2</v>
      </c>
      <c r="P255" s="22">
        <v>2</v>
      </c>
      <c r="Q255" s="22">
        <v>3</v>
      </c>
      <c r="R255" s="22">
        <v>3</v>
      </c>
      <c r="S255" s="31"/>
      <c r="T255" s="22"/>
      <c r="U255" s="22"/>
      <c r="V255" s="22"/>
      <c r="W255" s="22"/>
      <c r="X255" s="9" t="s">
        <v>1299</v>
      </c>
      <c r="Y255" s="9" t="s">
        <v>762</v>
      </c>
      <c r="Z255" s="9" t="s">
        <v>763</v>
      </c>
      <c r="AA255" s="9" t="s">
        <v>760</v>
      </c>
      <c r="AB255" s="9" t="s">
        <v>759</v>
      </c>
    </row>
    <row r="256" spans="1:28" s="1" customFormat="1" hidden="1" x14ac:dyDescent="0.3">
      <c r="A256" s="2">
        <v>252</v>
      </c>
      <c r="B256" s="4" t="s">
        <v>1103</v>
      </c>
      <c r="C256" s="9" t="s">
        <v>541</v>
      </c>
      <c r="D256" s="12" t="s">
        <v>542</v>
      </c>
      <c r="E256" s="9" t="s">
        <v>540</v>
      </c>
      <c r="F256" s="12" t="s">
        <v>546</v>
      </c>
      <c r="G256" s="9" t="s">
        <v>1104</v>
      </c>
      <c r="H256" s="40">
        <v>0.45</v>
      </c>
      <c r="I256" s="30">
        <f t="shared" si="4"/>
        <v>848</v>
      </c>
      <c r="J256" s="31"/>
      <c r="K256" s="9"/>
      <c r="L256" s="31"/>
      <c r="M256" s="9"/>
      <c r="N256" s="31">
        <f>426+422</f>
        <v>848</v>
      </c>
      <c r="O256" s="22">
        <v>2</v>
      </c>
      <c r="P256" s="22">
        <v>2</v>
      </c>
      <c r="Q256" s="22">
        <v>2.5</v>
      </c>
      <c r="R256" s="22">
        <v>2.5</v>
      </c>
      <c r="S256" s="31"/>
      <c r="T256" s="22"/>
      <c r="U256" s="22"/>
      <c r="V256" s="22"/>
      <c r="W256" s="22"/>
      <c r="X256" s="9" t="s">
        <v>1297</v>
      </c>
      <c r="Y256" s="9" t="s">
        <v>762</v>
      </c>
      <c r="Z256" s="9" t="s">
        <v>763</v>
      </c>
      <c r="AA256" s="9" t="s">
        <v>760</v>
      </c>
      <c r="AB256" s="9" t="s">
        <v>759</v>
      </c>
    </row>
    <row r="257" spans="1:28" s="1" customFormat="1" hidden="1" x14ac:dyDescent="0.3">
      <c r="A257" s="2">
        <v>253</v>
      </c>
      <c r="B257" s="4" t="s">
        <v>1105</v>
      </c>
      <c r="C257" s="9" t="s">
        <v>524</v>
      </c>
      <c r="D257" s="12" t="s">
        <v>544</v>
      </c>
      <c r="E257" s="9" t="s">
        <v>543</v>
      </c>
      <c r="F257" s="12" t="s">
        <v>545</v>
      </c>
      <c r="G257" s="9" t="s">
        <v>1106</v>
      </c>
      <c r="H257" s="40">
        <v>2.79</v>
      </c>
      <c r="I257" s="30">
        <f t="shared" si="4"/>
        <v>5537</v>
      </c>
      <c r="J257" s="31"/>
      <c r="K257" s="9"/>
      <c r="L257" s="31"/>
      <c r="M257" s="9"/>
      <c r="N257" s="31">
        <f>2708+2829</f>
        <v>5537</v>
      </c>
      <c r="O257" s="22">
        <v>2</v>
      </c>
      <c r="P257" s="22">
        <v>2</v>
      </c>
      <c r="Q257" s="22">
        <v>3.5</v>
      </c>
      <c r="R257" s="22">
        <v>3.5</v>
      </c>
      <c r="S257" s="31"/>
      <c r="T257" s="22"/>
      <c r="U257" s="22"/>
      <c r="V257" s="22"/>
      <c r="W257" s="22"/>
      <c r="X257" s="9" t="s">
        <v>1294</v>
      </c>
      <c r="Y257" s="9" t="s">
        <v>762</v>
      </c>
      <c r="Z257" s="9" t="s">
        <v>763</v>
      </c>
      <c r="AA257" s="9" t="s">
        <v>760</v>
      </c>
      <c r="AB257" s="9" t="s">
        <v>759</v>
      </c>
    </row>
    <row r="258" spans="1:28" s="1" customFormat="1" hidden="1" x14ac:dyDescent="0.3">
      <c r="A258" s="2">
        <v>254</v>
      </c>
      <c r="B258" s="18" t="s">
        <v>1117</v>
      </c>
      <c r="C258" s="9" t="s">
        <v>530</v>
      </c>
      <c r="D258" s="12" t="s">
        <v>568</v>
      </c>
      <c r="E258" s="12" t="s">
        <v>570</v>
      </c>
      <c r="F258" s="12" t="s">
        <v>569</v>
      </c>
      <c r="G258" s="12" t="s">
        <v>705</v>
      </c>
      <c r="H258" s="40">
        <v>0.31</v>
      </c>
      <c r="I258" s="30">
        <f t="shared" si="4"/>
        <v>624</v>
      </c>
      <c r="J258" s="31"/>
      <c r="K258" s="9"/>
      <c r="L258" s="31"/>
      <c r="M258" s="9"/>
      <c r="N258" s="31">
        <f>312+312</f>
        <v>624</v>
      </c>
      <c r="O258" s="22">
        <v>1.5</v>
      </c>
      <c r="P258" s="22">
        <v>2</v>
      </c>
      <c r="Q258" s="22">
        <v>1.7</v>
      </c>
      <c r="R258" s="22">
        <v>3.5</v>
      </c>
      <c r="S258" s="31"/>
      <c r="T258" s="22"/>
      <c r="U258" s="22"/>
      <c r="V258" s="22"/>
      <c r="W258" s="22"/>
      <c r="X258" s="9" t="s">
        <v>1294</v>
      </c>
      <c r="Y258" s="9" t="s">
        <v>1199</v>
      </c>
      <c r="Z258" s="9" t="s">
        <v>763</v>
      </c>
      <c r="AA258" s="9" t="s">
        <v>1245</v>
      </c>
      <c r="AB258" s="9" t="s">
        <v>759</v>
      </c>
    </row>
    <row r="259" spans="1:28" s="1" customFormat="1" hidden="1" x14ac:dyDescent="0.3">
      <c r="A259" s="2">
        <v>255</v>
      </c>
      <c r="B259" s="4" t="s">
        <v>1107</v>
      </c>
      <c r="C259" s="9" t="s">
        <v>524</v>
      </c>
      <c r="D259" s="12" t="s">
        <v>548</v>
      </c>
      <c r="E259" s="9" t="s">
        <v>547</v>
      </c>
      <c r="F259" s="12" t="s">
        <v>549</v>
      </c>
      <c r="G259" s="9" t="s">
        <v>1108</v>
      </c>
      <c r="H259" s="40">
        <v>0.84</v>
      </c>
      <c r="I259" s="30">
        <f t="shared" si="4"/>
        <v>1601</v>
      </c>
      <c r="J259" s="31"/>
      <c r="K259" s="9"/>
      <c r="L259" s="31"/>
      <c r="M259" s="9"/>
      <c r="N259" s="31">
        <f>767+834</f>
        <v>1601</v>
      </c>
      <c r="O259" s="22">
        <v>1.5</v>
      </c>
      <c r="P259" s="22">
        <v>1.5</v>
      </c>
      <c r="Q259" s="22">
        <v>1.7</v>
      </c>
      <c r="R259" s="22">
        <v>1.7</v>
      </c>
      <c r="S259" s="31"/>
      <c r="T259" s="22"/>
      <c r="U259" s="22"/>
      <c r="V259" s="22"/>
      <c r="W259" s="22"/>
      <c r="X259" s="9" t="s">
        <v>1294</v>
      </c>
      <c r="Y259" s="9" t="s">
        <v>1246</v>
      </c>
      <c r="Z259" s="9" t="s">
        <v>1197</v>
      </c>
      <c r="AA259" s="9" t="s">
        <v>760</v>
      </c>
      <c r="AB259" s="9" t="s">
        <v>759</v>
      </c>
    </row>
    <row r="260" spans="1:28" s="1" customFormat="1" hidden="1" x14ac:dyDescent="0.3">
      <c r="A260" s="2">
        <v>256</v>
      </c>
      <c r="B260" s="10" t="s">
        <v>1159</v>
      </c>
      <c r="C260" s="9" t="s">
        <v>524</v>
      </c>
      <c r="D260" s="12" t="s">
        <v>642</v>
      </c>
      <c r="E260" s="9" t="s">
        <v>553</v>
      </c>
      <c r="F260" s="12" t="s">
        <v>577</v>
      </c>
      <c r="G260" s="12" t="s">
        <v>708</v>
      </c>
      <c r="H260" s="40">
        <v>0.74</v>
      </c>
      <c r="I260" s="30">
        <f t="shared" si="4"/>
        <v>132</v>
      </c>
      <c r="J260" s="31"/>
      <c r="K260" s="9"/>
      <c r="L260" s="31"/>
      <c r="M260" s="9"/>
      <c r="N260" s="31">
        <f>58+74</f>
        <v>132</v>
      </c>
      <c r="O260" s="22">
        <v>2</v>
      </c>
      <c r="P260" s="22">
        <v>2</v>
      </c>
      <c r="Q260" s="22">
        <v>2.8</v>
      </c>
      <c r="R260" s="22">
        <v>2.8</v>
      </c>
      <c r="S260" s="31"/>
      <c r="T260" s="22"/>
      <c r="U260" s="22"/>
      <c r="V260" s="22"/>
      <c r="W260" s="22"/>
      <c r="X260" s="9" t="s">
        <v>1297</v>
      </c>
      <c r="Y260" s="9" t="s">
        <v>762</v>
      </c>
      <c r="Z260" s="9" t="s">
        <v>1196</v>
      </c>
      <c r="AA260" s="9" t="s">
        <v>760</v>
      </c>
      <c r="AB260" s="9" t="s">
        <v>759</v>
      </c>
    </row>
    <row r="261" spans="1:28" s="1" customFormat="1" hidden="1" x14ac:dyDescent="0.3">
      <c r="A261" s="2">
        <v>257</v>
      </c>
      <c r="B261" s="4" t="s">
        <v>1110</v>
      </c>
      <c r="C261" s="9" t="s">
        <v>550</v>
      </c>
      <c r="D261" s="12" t="s">
        <v>554</v>
      </c>
      <c r="E261" s="9" t="s">
        <v>551</v>
      </c>
      <c r="F261" s="12" t="s">
        <v>552</v>
      </c>
      <c r="G261" s="9" t="s">
        <v>1111</v>
      </c>
      <c r="H261" s="40">
        <v>1.41</v>
      </c>
      <c r="I261" s="30">
        <f t="shared" si="4"/>
        <v>2743</v>
      </c>
      <c r="J261" s="31"/>
      <c r="K261" s="9"/>
      <c r="L261" s="31"/>
      <c r="M261" s="9"/>
      <c r="N261" s="31">
        <f>1397+1346</f>
        <v>2743</v>
      </c>
      <c r="O261" s="22">
        <v>2</v>
      </c>
      <c r="P261" s="22">
        <v>2</v>
      </c>
      <c r="Q261" s="22">
        <v>2</v>
      </c>
      <c r="R261" s="22">
        <v>3.5</v>
      </c>
      <c r="S261" s="31"/>
      <c r="T261" s="22"/>
      <c r="U261" s="22"/>
      <c r="V261" s="22"/>
      <c r="W261" s="22"/>
      <c r="X261" s="9" t="s">
        <v>1293</v>
      </c>
      <c r="Y261" s="9" t="s">
        <v>762</v>
      </c>
      <c r="Z261" s="9" t="s">
        <v>1197</v>
      </c>
      <c r="AA261" s="9" t="s">
        <v>1241</v>
      </c>
      <c r="AB261" s="9" t="s">
        <v>1247</v>
      </c>
    </row>
    <row r="262" spans="1:28" s="1" customFormat="1" hidden="1" x14ac:dyDescent="0.3">
      <c r="A262" s="2">
        <v>258</v>
      </c>
      <c r="B262" s="4" t="s">
        <v>1118</v>
      </c>
      <c r="C262" s="9" t="s">
        <v>553</v>
      </c>
      <c r="D262" s="12" t="s">
        <v>554</v>
      </c>
      <c r="E262" s="9" t="s">
        <v>524</v>
      </c>
      <c r="F262" s="12" t="s">
        <v>559</v>
      </c>
      <c r="G262" s="9" t="s">
        <v>1119</v>
      </c>
      <c r="H262" s="40">
        <v>0.9</v>
      </c>
      <c r="I262" s="30">
        <f t="shared" si="4"/>
        <v>1707</v>
      </c>
      <c r="J262" s="31"/>
      <c r="K262" s="9"/>
      <c r="L262" s="31"/>
      <c r="M262" s="9"/>
      <c r="N262" s="31">
        <f>831+876</f>
        <v>1707</v>
      </c>
      <c r="O262" s="22">
        <v>2</v>
      </c>
      <c r="P262" s="22">
        <v>2</v>
      </c>
      <c r="Q262" s="22">
        <v>2</v>
      </c>
      <c r="R262" s="22">
        <v>3.5</v>
      </c>
      <c r="S262" s="31"/>
      <c r="T262" s="22"/>
      <c r="U262" s="22"/>
      <c r="V262" s="22"/>
      <c r="W262" s="22"/>
      <c r="X262" s="9" t="s">
        <v>1297</v>
      </c>
      <c r="Y262" s="9" t="s">
        <v>762</v>
      </c>
      <c r="Z262" s="9" t="s">
        <v>763</v>
      </c>
      <c r="AA262" s="9" t="s">
        <v>1241</v>
      </c>
      <c r="AB262" s="9" t="s">
        <v>837</v>
      </c>
    </row>
    <row r="263" spans="1:28" s="1" customFormat="1" hidden="1" x14ac:dyDescent="0.3">
      <c r="A263" s="2">
        <v>259</v>
      </c>
      <c r="B263" s="4" t="s">
        <v>1112</v>
      </c>
      <c r="C263" s="9" t="s">
        <v>524</v>
      </c>
      <c r="D263" s="12" t="s">
        <v>555</v>
      </c>
      <c r="E263" s="9" t="s">
        <v>553</v>
      </c>
      <c r="F263" s="12" t="s">
        <v>556</v>
      </c>
      <c r="G263" s="9" t="s">
        <v>1113</v>
      </c>
      <c r="H263" s="40">
        <v>1.3</v>
      </c>
      <c r="I263" s="30">
        <f t="shared" si="4"/>
        <v>2543</v>
      </c>
      <c r="J263" s="31"/>
      <c r="K263" s="9"/>
      <c r="L263" s="31"/>
      <c r="M263" s="9"/>
      <c r="N263" s="31">
        <f>1244+1299</f>
        <v>2543</v>
      </c>
      <c r="O263" s="22">
        <v>2</v>
      </c>
      <c r="P263" s="22">
        <v>2</v>
      </c>
      <c r="Q263" s="22">
        <v>3.5</v>
      </c>
      <c r="R263" s="22">
        <v>3.5</v>
      </c>
      <c r="S263" s="31"/>
      <c r="T263" s="22"/>
      <c r="U263" s="22"/>
      <c r="V263" s="22"/>
      <c r="W263" s="22"/>
      <c r="X263" s="9" t="s">
        <v>1297</v>
      </c>
      <c r="Y263" s="9" t="s">
        <v>1175</v>
      </c>
      <c r="Z263" s="9" t="s">
        <v>763</v>
      </c>
      <c r="AA263" s="9" t="s">
        <v>760</v>
      </c>
      <c r="AB263" s="9" t="s">
        <v>759</v>
      </c>
    </row>
    <row r="264" spans="1:28" s="1" customFormat="1" hidden="1" x14ac:dyDescent="0.3">
      <c r="A264" s="2">
        <v>260</v>
      </c>
      <c r="B264" s="18" t="s">
        <v>1114</v>
      </c>
      <c r="C264" s="9" t="s">
        <v>551</v>
      </c>
      <c r="D264" s="12" t="s">
        <v>571</v>
      </c>
      <c r="E264" s="9" t="s">
        <v>530</v>
      </c>
      <c r="F264" s="12" t="s">
        <v>572</v>
      </c>
      <c r="G264" s="9" t="s">
        <v>1115</v>
      </c>
      <c r="H264" s="40">
        <v>0.37</v>
      </c>
      <c r="I264" s="30">
        <f t="shared" si="4"/>
        <v>576</v>
      </c>
      <c r="J264" s="31"/>
      <c r="K264" s="9"/>
      <c r="L264" s="31"/>
      <c r="M264" s="9"/>
      <c r="N264" s="31">
        <f>362+214</f>
        <v>576</v>
      </c>
      <c r="O264" s="29">
        <v>2</v>
      </c>
      <c r="P264" s="22">
        <v>2</v>
      </c>
      <c r="Q264" s="22">
        <v>2</v>
      </c>
      <c r="R264" s="22">
        <v>3.5</v>
      </c>
      <c r="S264" s="31"/>
      <c r="T264" s="22"/>
      <c r="U264" s="22"/>
      <c r="V264" s="22"/>
      <c r="W264" s="22"/>
      <c r="X264" s="9" t="s">
        <v>1294</v>
      </c>
      <c r="Y264" s="9" t="s">
        <v>1213</v>
      </c>
      <c r="Z264" s="9" t="s">
        <v>763</v>
      </c>
      <c r="AA264" s="9" t="s">
        <v>760</v>
      </c>
      <c r="AB264" s="9" t="s">
        <v>759</v>
      </c>
    </row>
    <row r="265" spans="1:28" s="1" customFormat="1" hidden="1" x14ac:dyDescent="0.3">
      <c r="A265" s="2">
        <v>261</v>
      </c>
      <c r="B265" s="4" t="s">
        <v>1300</v>
      </c>
      <c r="C265" s="9" t="s">
        <v>578</v>
      </c>
      <c r="D265" s="12" t="s">
        <v>554</v>
      </c>
      <c r="E265" s="9" t="s">
        <v>547</v>
      </c>
      <c r="F265" s="12" t="s">
        <v>577</v>
      </c>
      <c r="G265" s="9" t="s">
        <v>1109</v>
      </c>
      <c r="H265" s="40">
        <v>9.7799999999999994</v>
      </c>
      <c r="I265" s="30">
        <f t="shared" si="4"/>
        <v>3316</v>
      </c>
      <c r="J265" s="31"/>
      <c r="K265" s="9"/>
      <c r="L265" s="31"/>
      <c r="M265" s="9"/>
      <c r="N265" s="31">
        <f>1684+1632</f>
        <v>3316</v>
      </c>
      <c r="O265" s="22">
        <v>2</v>
      </c>
      <c r="P265" s="22">
        <v>2</v>
      </c>
      <c r="Q265" s="22">
        <v>2.8</v>
      </c>
      <c r="R265" s="22">
        <v>4</v>
      </c>
      <c r="S265" s="31"/>
      <c r="T265" s="22"/>
      <c r="U265" s="22"/>
      <c r="V265" s="22"/>
      <c r="W265" s="22"/>
      <c r="X265" s="9" t="s">
        <v>1299</v>
      </c>
      <c r="Y265" s="9" t="s">
        <v>762</v>
      </c>
      <c r="Z265" s="9" t="s">
        <v>1197</v>
      </c>
      <c r="AA265" s="9" t="s">
        <v>760</v>
      </c>
      <c r="AB265" s="9" t="s">
        <v>759</v>
      </c>
    </row>
    <row r="266" spans="1:28" s="1" customFormat="1" hidden="1" x14ac:dyDescent="0.3">
      <c r="A266" s="2">
        <v>262</v>
      </c>
      <c r="B266" s="4" t="s">
        <v>1120</v>
      </c>
      <c r="C266" s="9" t="s">
        <v>550</v>
      </c>
      <c r="D266" s="12" t="s">
        <v>560</v>
      </c>
      <c r="E266" s="9" t="s">
        <v>524</v>
      </c>
      <c r="F266" s="12" t="s">
        <v>561</v>
      </c>
      <c r="G266" s="9" t="s">
        <v>1121</v>
      </c>
      <c r="H266" s="40">
        <v>0.98</v>
      </c>
      <c r="I266" s="30">
        <f t="shared" si="4"/>
        <v>1852</v>
      </c>
      <c r="J266" s="31"/>
      <c r="K266" s="9"/>
      <c r="L266" s="31"/>
      <c r="M266" s="9"/>
      <c r="N266" s="31">
        <f>524+913+415</f>
        <v>1852</v>
      </c>
      <c r="O266" s="22">
        <v>1.5</v>
      </c>
      <c r="P266" s="22">
        <v>2</v>
      </c>
      <c r="Q266" s="22">
        <v>1.7</v>
      </c>
      <c r="R266" s="22">
        <v>3.5</v>
      </c>
      <c r="S266" s="31"/>
      <c r="T266" s="22"/>
      <c r="U266" s="22"/>
      <c r="V266" s="22"/>
      <c r="W266" s="22"/>
      <c r="X266" s="9" t="s">
        <v>1295</v>
      </c>
      <c r="Y266" s="9" t="s">
        <v>762</v>
      </c>
      <c r="Z266" s="9" t="s">
        <v>763</v>
      </c>
      <c r="AA266" s="9" t="s">
        <v>760</v>
      </c>
      <c r="AB266" s="9" t="s">
        <v>764</v>
      </c>
    </row>
    <row r="267" spans="1:28" s="1" customFormat="1" hidden="1" x14ac:dyDescent="0.3">
      <c r="A267" s="2">
        <v>263</v>
      </c>
      <c r="B267" s="4" t="s">
        <v>1122</v>
      </c>
      <c r="C267" s="9" t="s">
        <v>524</v>
      </c>
      <c r="D267" s="12" t="s">
        <v>562</v>
      </c>
      <c r="E267" s="9" t="s">
        <v>564</v>
      </c>
      <c r="F267" s="12" t="s">
        <v>563</v>
      </c>
      <c r="G267" s="9" t="s">
        <v>1123</v>
      </c>
      <c r="H267" s="40">
        <v>1.23</v>
      </c>
      <c r="I267" s="30">
        <f t="shared" si="4"/>
        <v>2074</v>
      </c>
      <c r="J267" s="31"/>
      <c r="K267" s="9"/>
      <c r="L267" s="31"/>
      <c r="M267" s="9"/>
      <c r="N267" s="31">
        <f>1038+1036</f>
        <v>2074</v>
      </c>
      <c r="O267" s="22">
        <v>1.5</v>
      </c>
      <c r="P267" s="22">
        <v>1.5</v>
      </c>
      <c r="Q267" s="22">
        <v>1.7</v>
      </c>
      <c r="R267" s="22">
        <v>1.7</v>
      </c>
      <c r="S267" s="31"/>
      <c r="T267" s="22"/>
      <c r="U267" s="22"/>
      <c r="V267" s="22"/>
      <c r="W267" s="22"/>
      <c r="X267" s="9" t="s">
        <v>1294</v>
      </c>
      <c r="Y267" s="9" t="s">
        <v>1199</v>
      </c>
      <c r="Z267" s="9" t="s">
        <v>763</v>
      </c>
      <c r="AA267" s="9" t="s">
        <v>760</v>
      </c>
      <c r="AB267" s="9" t="s">
        <v>759</v>
      </c>
    </row>
    <row r="268" spans="1:28" s="1" customFormat="1" hidden="1" x14ac:dyDescent="0.3">
      <c r="A268" s="2">
        <v>264</v>
      </c>
      <c r="B268" s="4" t="s">
        <v>1124</v>
      </c>
      <c r="C268" s="9" t="s">
        <v>566</v>
      </c>
      <c r="D268" s="12" t="s">
        <v>565</v>
      </c>
      <c r="E268" s="9" t="s">
        <v>564</v>
      </c>
      <c r="F268" s="12" t="s">
        <v>567</v>
      </c>
      <c r="G268" s="9" t="s">
        <v>1125</v>
      </c>
      <c r="H268" s="40">
        <v>2.73</v>
      </c>
      <c r="I268" s="30">
        <f t="shared" si="4"/>
        <v>5019</v>
      </c>
      <c r="J268" s="31"/>
      <c r="K268" s="9"/>
      <c r="L268" s="31"/>
      <c r="M268" s="9"/>
      <c r="N268" s="31">
        <f>1933+1897+597+592</f>
        <v>5019</v>
      </c>
      <c r="O268" s="22">
        <v>2</v>
      </c>
      <c r="P268" s="22">
        <v>2</v>
      </c>
      <c r="Q268" s="22">
        <v>3.5</v>
      </c>
      <c r="R268" s="22">
        <v>3.5</v>
      </c>
      <c r="S268" s="31"/>
      <c r="T268" s="22"/>
      <c r="U268" s="22"/>
      <c r="V268" s="22"/>
      <c r="W268" s="22"/>
      <c r="X268" s="9" t="s">
        <v>1294</v>
      </c>
      <c r="Y268" s="9" t="s">
        <v>762</v>
      </c>
      <c r="Z268" s="9" t="s">
        <v>763</v>
      </c>
      <c r="AA268" s="9" t="s">
        <v>760</v>
      </c>
      <c r="AB268" s="9" t="s">
        <v>759</v>
      </c>
    </row>
    <row r="269" spans="1:28" s="1" customFormat="1" hidden="1" x14ac:dyDescent="0.3">
      <c r="A269" s="2">
        <v>265</v>
      </c>
      <c r="B269" s="10" t="s">
        <v>1341</v>
      </c>
      <c r="C269" s="9" t="s">
        <v>1342</v>
      </c>
      <c r="D269" s="9" t="s">
        <v>1343</v>
      </c>
      <c r="E269" s="9" t="s">
        <v>1344</v>
      </c>
      <c r="F269" s="12" t="s">
        <v>1345</v>
      </c>
      <c r="G269" s="12" t="s">
        <v>709</v>
      </c>
      <c r="H269" s="40">
        <v>1.78</v>
      </c>
      <c r="I269" s="30">
        <f t="shared" si="4"/>
        <v>586</v>
      </c>
      <c r="J269" s="31"/>
      <c r="K269" s="9"/>
      <c r="L269" s="31"/>
      <c r="M269" s="9"/>
      <c r="N269" s="31">
        <f>290+296</f>
        <v>586</v>
      </c>
      <c r="O269" s="22">
        <v>2</v>
      </c>
      <c r="P269" s="22">
        <v>2</v>
      </c>
      <c r="Q269" s="22">
        <v>4</v>
      </c>
      <c r="R269" s="22">
        <v>4</v>
      </c>
      <c r="S269" s="31"/>
      <c r="T269" s="22"/>
      <c r="U269" s="22"/>
      <c r="V269" s="22"/>
      <c r="W269" s="22"/>
      <c r="X269" s="9" t="s">
        <v>1294</v>
      </c>
      <c r="Y269" s="9" t="s">
        <v>762</v>
      </c>
      <c r="Z269" s="9" t="s">
        <v>763</v>
      </c>
      <c r="AA269" s="9" t="s">
        <v>760</v>
      </c>
      <c r="AB269" s="9" t="s">
        <v>759</v>
      </c>
    </row>
    <row r="270" spans="1:28" s="1" customFormat="1" hidden="1" x14ac:dyDescent="0.3">
      <c r="A270" s="2">
        <v>266</v>
      </c>
      <c r="B270" s="4" t="s">
        <v>1116</v>
      </c>
      <c r="C270" s="9" t="s">
        <v>524</v>
      </c>
      <c r="D270" s="12" t="s">
        <v>557</v>
      </c>
      <c r="E270" s="9" t="s">
        <v>553</v>
      </c>
      <c r="F270" s="12" t="s">
        <v>558</v>
      </c>
      <c r="G270" s="9"/>
      <c r="H270" s="40">
        <v>2.44</v>
      </c>
      <c r="I270" s="30">
        <f t="shared" si="4"/>
        <v>3608</v>
      </c>
      <c r="J270" s="31"/>
      <c r="K270" s="9"/>
      <c r="L270" s="31"/>
      <c r="M270" s="9"/>
      <c r="N270" s="31">
        <f>1764+1806+38</f>
        <v>3608</v>
      </c>
      <c r="O270" s="22">
        <v>2</v>
      </c>
      <c r="P270" s="22">
        <v>2</v>
      </c>
      <c r="Q270" s="22">
        <v>3.5</v>
      </c>
      <c r="R270" s="22">
        <v>3.5</v>
      </c>
      <c r="S270" s="31"/>
      <c r="T270" s="22"/>
      <c r="U270" s="22"/>
      <c r="V270" s="22"/>
      <c r="W270" s="22"/>
      <c r="X270" s="9" t="s">
        <v>1294</v>
      </c>
      <c r="Y270" s="9" t="s">
        <v>762</v>
      </c>
      <c r="Z270" s="9" t="s">
        <v>763</v>
      </c>
      <c r="AA270" s="9" t="s">
        <v>760</v>
      </c>
      <c r="AB270" s="9" t="s">
        <v>759</v>
      </c>
    </row>
    <row r="271" spans="1:28" s="1" customFormat="1" hidden="1" x14ac:dyDescent="0.3">
      <c r="A271" s="2">
        <v>267</v>
      </c>
      <c r="B271" s="18" t="s">
        <v>1276</v>
      </c>
      <c r="C271" s="4" t="s">
        <v>178</v>
      </c>
      <c r="D271" s="12" t="s">
        <v>112</v>
      </c>
      <c r="E271" s="4" t="s">
        <v>190</v>
      </c>
      <c r="F271" s="12" t="s">
        <v>111</v>
      </c>
      <c r="G271" s="4" t="s">
        <v>113</v>
      </c>
      <c r="H271" s="39">
        <v>1.49</v>
      </c>
      <c r="I271" s="30">
        <f t="shared" ref="I271:I302" si="5">J271+N271+S271+L271</f>
        <v>915</v>
      </c>
      <c r="J271" s="30"/>
      <c r="K271" s="3"/>
      <c r="L271" s="30"/>
      <c r="M271" s="3"/>
      <c r="N271" s="35">
        <f>492+423</f>
        <v>915</v>
      </c>
      <c r="O271" s="21">
        <v>1.8</v>
      </c>
      <c r="P271" s="21">
        <v>1.8</v>
      </c>
      <c r="Q271" s="21">
        <v>1.8</v>
      </c>
      <c r="R271" s="21">
        <v>1.8</v>
      </c>
      <c r="S271" s="35"/>
      <c r="T271" s="21"/>
      <c r="U271" s="21"/>
      <c r="V271" s="21"/>
      <c r="W271" s="3"/>
      <c r="X271" s="3" t="s">
        <v>1134</v>
      </c>
      <c r="Y271" s="3" t="s">
        <v>758</v>
      </c>
      <c r="Z271" s="3" t="s">
        <v>759</v>
      </c>
      <c r="AA271" s="3" t="s">
        <v>760</v>
      </c>
      <c r="AB271" s="3" t="s">
        <v>759</v>
      </c>
    </row>
    <row r="272" spans="1:28" s="1" customFormat="1" hidden="1" x14ac:dyDescent="0.3">
      <c r="A272" s="2">
        <v>268</v>
      </c>
      <c r="B272" s="4" t="s">
        <v>66</v>
      </c>
      <c r="C272" s="4" t="s">
        <v>831</v>
      </c>
      <c r="D272" s="12" t="s">
        <v>208</v>
      </c>
      <c r="E272" s="4" t="s">
        <v>832</v>
      </c>
      <c r="F272" s="12" t="s">
        <v>209</v>
      </c>
      <c r="G272" s="4" t="s">
        <v>833</v>
      </c>
      <c r="H272" s="39">
        <v>7.43</v>
      </c>
      <c r="I272" s="30">
        <f t="shared" si="5"/>
        <v>3406</v>
      </c>
      <c r="J272" s="30"/>
      <c r="K272" s="3"/>
      <c r="L272" s="30"/>
      <c r="M272" s="3"/>
      <c r="N272" s="35">
        <f>1302+284+1474+346</f>
        <v>3406</v>
      </c>
      <c r="O272" s="21">
        <v>1</v>
      </c>
      <c r="P272" s="21">
        <v>1.5</v>
      </c>
      <c r="Q272" s="21">
        <v>1</v>
      </c>
      <c r="R272" s="21">
        <v>1.5</v>
      </c>
      <c r="S272" s="35"/>
      <c r="T272" s="21"/>
      <c r="U272" s="21"/>
      <c r="V272" s="21"/>
      <c r="W272" s="3"/>
      <c r="X272" s="3" t="s">
        <v>1284</v>
      </c>
      <c r="Y272" s="3" t="s">
        <v>1235</v>
      </c>
      <c r="Z272" s="3" t="s">
        <v>759</v>
      </c>
      <c r="AA272" s="3" t="s">
        <v>760</v>
      </c>
      <c r="AB272" s="3" t="s">
        <v>759</v>
      </c>
    </row>
    <row r="273" spans="1:28" s="1" customFormat="1" hidden="1" x14ac:dyDescent="0.3">
      <c r="A273" s="2">
        <v>269</v>
      </c>
      <c r="B273" s="4" t="s">
        <v>66</v>
      </c>
      <c r="C273" s="4"/>
      <c r="D273" s="12" t="s">
        <v>210</v>
      </c>
      <c r="E273" s="4"/>
      <c r="F273" s="12" t="s">
        <v>834</v>
      </c>
      <c r="G273" s="4" t="s">
        <v>833</v>
      </c>
      <c r="H273" s="39" t="s">
        <v>1278</v>
      </c>
      <c r="I273" s="30">
        <f t="shared" si="5"/>
        <v>691</v>
      </c>
      <c r="J273" s="30"/>
      <c r="K273" s="3"/>
      <c r="L273" s="30"/>
      <c r="M273" s="3"/>
      <c r="N273" s="35"/>
      <c r="O273" s="21"/>
      <c r="P273" s="21"/>
      <c r="Q273" s="21"/>
      <c r="R273" s="21"/>
      <c r="S273" s="35">
        <f>189+50+253+199</f>
        <v>691</v>
      </c>
      <c r="T273" s="21">
        <v>1</v>
      </c>
      <c r="U273" s="21">
        <v>1.5</v>
      </c>
      <c r="V273" s="21">
        <v>1</v>
      </c>
      <c r="W273" s="3">
        <v>1.5</v>
      </c>
      <c r="X273" s="3"/>
      <c r="Y273" s="3" t="s">
        <v>758</v>
      </c>
      <c r="Z273" s="3" t="s">
        <v>759</v>
      </c>
      <c r="AA273" s="3"/>
      <c r="AB273" s="3"/>
    </row>
    <row r="274" spans="1:28" s="1" customFormat="1" hidden="1" x14ac:dyDescent="0.3">
      <c r="A274" s="2">
        <v>270</v>
      </c>
      <c r="B274" s="11" t="s">
        <v>721</v>
      </c>
      <c r="C274" s="9" t="s">
        <v>1168</v>
      </c>
      <c r="D274" s="12" t="s">
        <v>722</v>
      </c>
      <c r="E274" s="9" t="s">
        <v>1169</v>
      </c>
      <c r="F274" s="12" t="s">
        <v>723</v>
      </c>
      <c r="G274" s="9"/>
      <c r="H274" s="43">
        <v>0.98</v>
      </c>
      <c r="I274" s="30">
        <f t="shared" si="5"/>
        <v>1970</v>
      </c>
      <c r="J274" s="31"/>
      <c r="K274" s="9"/>
      <c r="L274" s="31"/>
      <c r="M274" s="9"/>
      <c r="N274" s="31">
        <f>594+953+423</f>
        <v>1970</v>
      </c>
      <c r="O274" s="22">
        <v>1</v>
      </c>
      <c r="P274" s="22">
        <v>1</v>
      </c>
      <c r="Q274" s="22">
        <v>1</v>
      </c>
      <c r="R274" s="22">
        <v>1</v>
      </c>
      <c r="S274" s="31"/>
      <c r="T274" s="22"/>
      <c r="U274" s="22"/>
      <c r="V274" s="22"/>
      <c r="W274" s="22"/>
      <c r="X274" s="9" t="s">
        <v>1406</v>
      </c>
      <c r="Y274" s="9" t="s">
        <v>762</v>
      </c>
      <c r="Z274" s="9" t="s">
        <v>763</v>
      </c>
      <c r="AA274" s="9" t="s">
        <v>765</v>
      </c>
      <c r="AB274" s="9" t="s">
        <v>763</v>
      </c>
    </row>
    <row r="275" spans="1:28" s="1" customFormat="1" hidden="1" x14ac:dyDescent="0.3">
      <c r="A275" s="2">
        <v>271</v>
      </c>
      <c r="B275" s="4" t="s">
        <v>1126</v>
      </c>
      <c r="C275" s="9" t="s">
        <v>576</v>
      </c>
      <c r="D275" s="12" t="s">
        <v>573</v>
      </c>
      <c r="E275" s="9" t="s">
        <v>574</v>
      </c>
      <c r="F275" s="12" t="s">
        <v>575</v>
      </c>
      <c r="G275" s="9" t="s">
        <v>1127</v>
      </c>
      <c r="H275" s="40">
        <v>3.64</v>
      </c>
      <c r="I275" s="30">
        <f t="shared" si="5"/>
        <v>7146</v>
      </c>
      <c r="J275" s="31"/>
      <c r="K275" s="9"/>
      <c r="L275" s="31"/>
      <c r="M275" s="9"/>
      <c r="N275" s="31">
        <f>3554+3592</f>
        <v>7146</v>
      </c>
      <c r="O275" s="22">
        <v>2</v>
      </c>
      <c r="P275" s="22">
        <v>2</v>
      </c>
      <c r="Q275" s="22">
        <v>3</v>
      </c>
      <c r="R275" s="22">
        <v>3</v>
      </c>
      <c r="S275" s="31"/>
      <c r="T275" s="22"/>
      <c r="U275" s="22"/>
      <c r="V275" s="22"/>
      <c r="W275" s="22"/>
      <c r="X275" s="9" t="s">
        <v>1294</v>
      </c>
      <c r="Y275" s="9" t="s">
        <v>1243</v>
      </c>
      <c r="Z275" s="9" t="s">
        <v>763</v>
      </c>
      <c r="AA275" s="9" t="s">
        <v>1242</v>
      </c>
      <c r="AB275" s="9" t="s">
        <v>764</v>
      </c>
    </row>
    <row r="276" spans="1:28" s="1" customFormat="1" hidden="1" x14ac:dyDescent="0.3">
      <c r="A276" s="2">
        <v>272</v>
      </c>
      <c r="B276" s="4" t="s">
        <v>1131</v>
      </c>
      <c r="C276" s="9"/>
      <c r="D276" s="12" t="s">
        <v>582</v>
      </c>
      <c r="E276" s="9" t="s">
        <v>584</v>
      </c>
      <c r="F276" s="12" t="s">
        <v>583</v>
      </c>
      <c r="G276" s="9" t="s">
        <v>1127</v>
      </c>
      <c r="H276" s="40">
        <v>10.199999999999999</v>
      </c>
      <c r="I276" s="30">
        <f t="shared" si="5"/>
        <v>738</v>
      </c>
      <c r="J276" s="31"/>
      <c r="K276" s="9"/>
      <c r="L276" s="31"/>
      <c r="M276" s="9"/>
      <c r="N276" s="31">
        <v>738</v>
      </c>
      <c r="O276" s="22">
        <v>1</v>
      </c>
      <c r="P276" s="22">
        <v>1</v>
      </c>
      <c r="Q276" s="22">
        <v>1.3</v>
      </c>
      <c r="R276" s="22">
        <v>1.3</v>
      </c>
      <c r="S276" s="31"/>
      <c r="T276" s="22"/>
      <c r="U276" s="22"/>
      <c r="V276" s="22"/>
      <c r="W276" s="22"/>
      <c r="X276" s="9" t="s">
        <v>1295</v>
      </c>
      <c r="Y276" s="9" t="s">
        <v>1199</v>
      </c>
      <c r="Z276" s="9" t="s">
        <v>763</v>
      </c>
      <c r="AA276" s="9" t="s">
        <v>760</v>
      </c>
      <c r="AB276" s="9" t="s">
        <v>759</v>
      </c>
    </row>
    <row r="277" spans="1:28" s="1" customFormat="1" hidden="1" x14ac:dyDescent="0.3">
      <c r="A277" s="2">
        <v>273</v>
      </c>
      <c r="B277" s="4" t="s">
        <v>1131</v>
      </c>
      <c r="C277" s="9" t="s">
        <v>584</v>
      </c>
      <c r="D277" s="12" t="s">
        <v>583</v>
      </c>
      <c r="E277" s="9" t="s">
        <v>586</v>
      </c>
      <c r="F277" s="12" t="s">
        <v>585</v>
      </c>
      <c r="G277" s="9" t="s">
        <v>1132</v>
      </c>
      <c r="H277" s="40" t="s">
        <v>1278</v>
      </c>
      <c r="I277" s="30">
        <f t="shared" si="5"/>
        <v>693</v>
      </c>
      <c r="J277" s="31"/>
      <c r="K277" s="9"/>
      <c r="L277" s="31"/>
      <c r="M277" s="9"/>
      <c r="N277" s="31"/>
      <c r="O277" s="22"/>
      <c r="P277" s="22"/>
      <c r="Q277" s="22"/>
      <c r="R277" s="22"/>
      <c r="S277" s="31">
        <v>693</v>
      </c>
      <c r="T277" s="22">
        <v>2.5</v>
      </c>
      <c r="U277" s="22">
        <v>2.5</v>
      </c>
      <c r="V277" s="22">
        <v>1.3</v>
      </c>
      <c r="W277" s="22">
        <v>1.3</v>
      </c>
      <c r="X277" s="9"/>
      <c r="Y277" s="9" t="s">
        <v>1199</v>
      </c>
      <c r="Z277" s="9" t="s">
        <v>763</v>
      </c>
      <c r="AA277" s="9"/>
      <c r="AB277" s="9"/>
    </row>
    <row r="278" spans="1:28" s="1" customFormat="1" hidden="1" x14ac:dyDescent="0.3">
      <c r="A278" s="2">
        <v>274</v>
      </c>
      <c r="B278" s="4" t="s">
        <v>1131</v>
      </c>
      <c r="C278" s="9"/>
      <c r="D278" s="12" t="s">
        <v>587</v>
      </c>
      <c r="E278" s="9" t="s">
        <v>589</v>
      </c>
      <c r="F278" s="12" t="s">
        <v>588</v>
      </c>
      <c r="G278" s="9" t="s">
        <v>1133</v>
      </c>
      <c r="H278" s="40" t="s">
        <v>1278</v>
      </c>
      <c r="I278" s="30">
        <f t="shared" si="5"/>
        <v>307</v>
      </c>
      <c r="J278" s="31"/>
      <c r="K278" s="9"/>
      <c r="L278" s="31"/>
      <c r="M278" s="9"/>
      <c r="N278" s="31"/>
      <c r="O278" s="22"/>
      <c r="P278" s="22"/>
      <c r="Q278" s="22"/>
      <c r="R278" s="22"/>
      <c r="S278" s="31">
        <f>307</f>
        <v>307</v>
      </c>
      <c r="T278" s="22">
        <v>5</v>
      </c>
      <c r="U278" s="22">
        <v>5</v>
      </c>
      <c r="V278" s="22">
        <v>4</v>
      </c>
      <c r="W278" s="22">
        <v>4</v>
      </c>
      <c r="X278" s="9"/>
      <c r="Y278" s="9" t="s">
        <v>1199</v>
      </c>
      <c r="Z278" s="9" t="s">
        <v>763</v>
      </c>
      <c r="AA278" s="9"/>
      <c r="AB278" s="9"/>
    </row>
    <row r="279" spans="1:28" s="1" customFormat="1" hidden="1" x14ac:dyDescent="0.3">
      <c r="A279" s="2">
        <v>275</v>
      </c>
      <c r="B279" s="19" t="s">
        <v>1441</v>
      </c>
      <c r="C279" s="9"/>
      <c r="D279" s="12" t="s">
        <v>587</v>
      </c>
      <c r="E279" s="9" t="s">
        <v>589</v>
      </c>
      <c r="F279" s="12" t="s">
        <v>588</v>
      </c>
      <c r="G279" s="9"/>
      <c r="H279" s="40">
        <v>0.56999999999999995</v>
      </c>
      <c r="I279" s="30">
        <f t="shared" si="5"/>
        <v>566</v>
      </c>
      <c r="J279" s="31"/>
      <c r="K279" s="9"/>
      <c r="L279" s="31"/>
      <c r="M279" s="9"/>
      <c r="N279" s="31">
        <v>566</v>
      </c>
      <c r="O279" s="22">
        <v>1</v>
      </c>
      <c r="P279" s="22">
        <v>1</v>
      </c>
      <c r="Q279" s="22">
        <v>1</v>
      </c>
      <c r="R279" s="22">
        <v>1</v>
      </c>
      <c r="S279" s="31"/>
      <c r="T279" s="22"/>
      <c r="U279" s="22"/>
      <c r="V279" s="22"/>
      <c r="W279" s="22"/>
      <c r="X279" s="9" t="s">
        <v>1299</v>
      </c>
      <c r="Y279" s="9" t="s">
        <v>765</v>
      </c>
      <c r="Z279" s="9" t="s">
        <v>763</v>
      </c>
      <c r="AA279" s="9" t="s">
        <v>760</v>
      </c>
      <c r="AB279" s="9" t="s">
        <v>749</v>
      </c>
    </row>
    <row r="280" spans="1:28" s="1" customFormat="1" hidden="1" x14ac:dyDescent="0.3">
      <c r="A280" s="2">
        <v>276</v>
      </c>
      <c r="B280" s="10" t="s">
        <v>1130</v>
      </c>
      <c r="C280" s="9" t="s">
        <v>600</v>
      </c>
      <c r="D280" s="12" t="s">
        <v>599</v>
      </c>
      <c r="E280" s="12"/>
      <c r="F280" s="12" t="s">
        <v>601</v>
      </c>
      <c r="G280" s="9" t="s">
        <v>1139</v>
      </c>
      <c r="H280" s="40">
        <v>2.2200000000000002</v>
      </c>
      <c r="I280" s="30">
        <f t="shared" si="5"/>
        <v>2032</v>
      </c>
      <c r="J280" s="31"/>
      <c r="K280" s="9"/>
      <c r="L280" s="31"/>
      <c r="M280" s="9"/>
      <c r="N280" s="31">
        <f>1880+152</f>
        <v>2032</v>
      </c>
      <c r="O280" s="22">
        <v>2</v>
      </c>
      <c r="P280" s="22">
        <v>2</v>
      </c>
      <c r="Q280" s="22">
        <v>2.5</v>
      </c>
      <c r="R280" s="22">
        <v>2.75</v>
      </c>
      <c r="S280" s="31"/>
      <c r="T280" s="22"/>
      <c r="U280" s="22"/>
      <c r="V280" s="22"/>
      <c r="W280" s="22"/>
      <c r="X280" s="9" t="s">
        <v>1299</v>
      </c>
      <c r="Y280" s="9" t="s">
        <v>762</v>
      </c>
      <c r="Z280" s="9" t="s">
        <v>763</v>
      </c>
      <c r="AA280" s="9" t="s">
        <v>1242</v>
      </c>
      <c r="AB280" s="9" t="s">
        <v>764</v>
      </c>
    </row>
    <row r="281" spans="1:28" s="1" customFormat="1" hidden="1" x14ac:dyDescent="0.3">
      <c r="A281" s="2">
        <v>277</v>
      </c>
      <c r="B281" s="10" t="s">
        <v>1130</v>
      </c>
      <c r="C281" s="9"/>
      <c r="D281" s="12" t="s">
        <v>601</v>
      </c>
      <c r="E281" s="9" t="s">
        <v>602</v>
      </c>
      <c r="F281" s="12" t="s">
        <v>601</v>
      </c>
      <c r="G281" s="9" t="s">
        <v>1140</v>
      </c>
      <c r="H281" s="40" t="s">
        <v>1278</v>
      </c>
      <c r="I281" s="30">
        <f t="shared" si="5"/>
        <v>848</v>
      </c>
      <c r="J281" s="31"/>
      <c r="K281" s="9"/>
      <c r="L281" s="31"/>
      <c r="M281" s="9"/>
      <c r="N281" s="31"/>
      <c r="O281" s="22"/>
      <c r="P281" s="22"/>
      <c r="Q281" s="22"/>
      <c r="R281" s="22"/>
      <c r="S281" s="31">
        <v>848</v>
      </c>
      <c r="T281" s="22">
        <v>2.5</v>
      </c>
      <c r="U281" s="22">
        <v>4.5</v>
      </c>
      <c r="V281" s="22">
        <v>1.3</v>
      </c>
      <c r="W281" s="22">
        <v>3.5</v>
      </c>
      <c r="X281" s="9"/>
      <c r="Y281" s="9" t="s">
        <v>1199</v>
      </c>
      <c r="Z281" s="9" t="s">
        <v>763</v>
      </c>
      <c r="AA281" s="9"/>
      <c r="AB281" s="9"/>
    </row>
    <row r="282" spans="1:28" s="1" customFormat="1" hidden="1" x14ac:dyDescent="0.3">
      <c r="A282" s="2">
        <v>278</v>
      </c>
      <c r="B282" s="10" t="s">
        <v>1130</v>
      </c>
      <c r="C282" s="9" t="s">
        <v>602</v>
      </c>
      <c r="D282" s="12" t="s">
        <v>603</v>
      </c>
      <c r="E282" s="15" t="s">
        <v>600</v>
      </c>
      <c r="F282" s="12" t="s">
        <v>751</v>
      </c>
      <c r="G282" s="10" t="s">
        <v>752</v>
      </c>
      <c r="H282" s="40" t="s">
        <v>1278</v>
      </c>
      <c r="I282" s="30">
        <f t="shared" si="5"/>
        <v>861</v>
      </c>
      <c r="J282" s="31"/>
      <c r="K282" s="9"/>
      <c r="L282" s="31"/>
      <c r="M282" s="9"/>
      <c r="N282" s="31"/>
      <c r="O282" s="22"/>
      <c r="P282" s="22"/>
      <c r="Q282" s="22"/>
      <c r="R282" s="22"/>
      <c r="S282" s="31">
        <v>861</v>
      </c>
      <c r="T282" s="22">
        <v>2.5</v>
      </c>
      <c r="U282" s="22">
        <v>2.5</v>
      </c>
      <c r="V282" s="22">
        <v>1.3</v>
      </c>
      <c r="W282" s="22">
        <v>1.3</v>
      </c>
      <c r="X282" s="9"/>
      <c r="Y282" s="9" t="s">
        <v>1199</v>
      </c>
      <c r="Z282" s="9" t="s">
        <v>763</v>
      </c>
      <c r="AA282" s="9"/>
      <c r="AB282" s="9"/>
    </row>
    <row r="283" spans="1:28" s="1" customFormat="1" hidden="1" x14ac:dyDescent="0.3">
      <c r="A283" s="2">
        <v>279</v>
      </c>
      <c r="B283" s="10" t="s">
        <v>1145</v>
      </c>
      <c r="C283" s="9"/>
      <c r="D283" s="12" t="s">
        <v>611</v>
      </c>
      <c r="E283" s="9" t="s">
        <v>618</v>
      </c>
      <c r="F283" s="12" t="s">
        <v>612</v>
      </c>
      <c r="G283" s="9" t="s">
        <v>1127</v>
      </c>
      <c r="H283" s="40">
        <v>3.08</v>
      </c>
      <c r="I283" s="30">
        <f t="shared" si="5"/>
        <v>5215</v>
      </c>
      <c r="J283" s="31"/>
      <c r="K283" s="9"/>
      <c r="L283" s="31"/>
      <c r="M283" s="9"/>
      <c r="N283" s="31">
        <f>2594+2621</f>
        <v>5215</v>
      </c>
      <c r="O283" s="22">
        <v>2</v>
      </c>
      <c r="P283" s="22">
        <v>2</v>
      </c>
      <c r="Q283" s="22">
        <v>2.75</v>
      </c>
      <c r="R283" s="22">
        <v>2.75</v>
      </c>
      <c r="S283" s="31"/>
      <c r="T283" s="22"/>
      <c r="U283" s="22"/>
      <c r="V283" s="22"/>
      <c r="W283" s="22"/>
      <c r="X283" s="9" t="s">
        <v>1295</v>
      </c>
      <c r="Y283" s="9" t="s">
        <v>762</v>
      </c>
      <c r="Z283" s="9" t="s">
        <v>763</v>
      </c>
      <c r="AA283" s="9" t="s">
        <v>760</v>
      </c>
      <c r="AB283" s="9" t="s">
        <v>759</v>
      </c>
    </row>
    <row r="284" spans="1:28" s="1" customFormat="1" hidden="1" x14ac:dyDescent="0.3">
      <c r="A284" s="2">
        <v>280</v>
      </c>
      <c r="B284" s="10" t="s">
        <v>1145</v>
      </c>
      <c r="C284" s="9" t="s">
        <v>618</v>
      </c>
      <c r="D284" s="12" t="s">
        <v>613</v>
      </c>
      <c r="E284" s="9"/>
      <c r="F284" s="12" t="s">
        <v>614</v>
      </c>
      <c r="G284" s="9"/>
      <c r="H284" s="40" t="s">
        <v>1278</v>
      </c>
      <c r="I284" s="30">
        <f t="shared" si="5"/>
        <v>357</v>
      </c>
      <c r="J284" s="31"/>
      <c r="K284" s="9"/>
      <c r="L284" s="31"/>
      <c r="M284" s="9"/>
      <c r="N284" s="31"/>
      <c r="O284" s="22"/>
      <c r="P284" s="22"/>
      <c r="Q284" s="22"/>
      <c r="R284" s="22"/>
      <c r="S284" s="31">
        <f>357</f>
        <v>357</v>
      </c>
      <c r="T284" s="22">
        <v>3</v>
      </c>
      <c r="U284" s="22">
        <v>3</v>
      </c>
      <c r="V284" s="22">
        <v>1.8</v>
      </c>
      <c r="W284" s="22">
        <v>1.8</v>
      </c>
      <c r="X284" s="9"/>
      <c r="Y284" s="9" t="s">
        <v>762</v>
      </c>
      <c r="Z284" s="9" t="s">
        <v>763</v>
      </c>
      <c r="AA284" s="9"/>
      <c r="AB284" s="9"/>
    </row>
    <row r="285" spans="1:28" s="1" customFormat="1" hidden="1" x14ac:dyDescent="0.3">
      <c r="A285" s="2">
        <v>281</v>
      </c>
      <c r="B285" s="10" t="s">
        <v>1145</v>
      </c>
      <c r="C285" s="9"/>
      <c r="D285" s="12" t="s">
        <v>615</v>
      </c>
      <c r="E285" s="9" t="s">
        <v>617</v>
      </c>
      <c r="F285" s="12" t="s">
        <v>616</v>
      </c>
      <c r="G285" s="9"/>
      <c r="H285" s="40" t="s">
        <v>1278</v>
      </c>
      <c r="I285" s="30">
        <f t="shared" si="5"/>
        <v>91</v>
      </c>
      <c r="J285" s="31"/>
      <c r="K285" s="9"/>
      <c r="L285" s="31"/>
      <c r="M285" s="9"/>
      <c r="N285" s="31">
        <v>91</v>
      </c>
      <c r="O285" s="22">
        <v>2</v>
      </c>
      <c r="P285" s="22">
        <v>2</v>
      </c>
      <c r="Q285" s="22">
        <v>2.75</v>
      </c>
      <c r="R285" s="22">
        <v>2.75</v>
      </c>
      <c r="S285" s="31"/>
      <c r="T285" s="22"/>
      <c r="U285" s="22"/>
      <c r="V285" s="22"/>
      <c r="W285" s="22"/>
      <c r="X285" s="9"/>
      <c r="Y285" s="9" t="s">
        <v>765</v>
      </c>
      <c r="Z285" s="9" t="s">
        <v>763</v>
      </c>
      <c r="AA285" s="9" t="s">
        <v>760</v>
      </c>
      <c r="AB285" s="9" t="s">
        <v>759</v>
      </c>
    </row>
    <row r="286" spans="1:28" s="1" customFormat="1" hidden="1" x14ac:dyDescent="0.3">
      <c r="A286" s="2">
        <v>282</v>
      </c>
      <c r="B286" s="4" t="s">
        <v>1128</v>
      </c>
      <c r="C286" s="9" t="s">
        <v>1129</v>
      </c>
      <c r="D286" s="12" t="s">
        <v>728</v>
      </c>
      <c r="E286" s="9" t="s">
        <v>1130</v>
      </c>
      <c r="F286" s="12" t="s">
        <v>729</v>
      </c>
      <c r="G286" s="9" t="s">
        <v>1128</v>
      </c>
      <c r="H286" s="40">
        <v>1.04</v>
      </c>
      <c r="I286" s="30">
        <f t="shared" si="5"/>
        <v>1035</v>
      </c>
      <c r="J286" s="31"/>
      <c r="K286" s="9"/>
      <c r="L286" s="31"/>
      <c r="M286" s="9"/>
      <c r="N286" s="31">
        <v>1035</v>
      </c>
      <c r="O286" s="22">
        <v>4</v>
      </c>
      <c r="P286" s="22">
        <v>4</v>
      </c>
      <c r="Q286" s="22">
        <v>2</v>
      </c>
      <c r="R286" s="22">
        <v>2</v>
      </c>
      <c r="S286" s="31"/>
      <c r="T286" s="22"/>
      <c r="U286" s="22"/>
      <c r="V286" s="22"/>
      <c r="W286" s="22"/>
      <c r="X286" s="9" t="s">
        <v>750</v>
      </c>
      <c r="Y286" s="9" t="s">
        <v>758</v>
      </c>
      <c r="Z286" s="9" t="s">
        <v>761</v>
      </c>
      <c r="AA286" s="9" t="s">
        <v>760</v>
      </c>
      <c r="AB286" s="9" t="s">
        <v>749</v>
      </c>
    </row>
    <row r="287" spans="1:28" s="1" customFormat="1" hidden="1" x14ac:dyDescent="0.3">
      <c r="A287" s="2">
        <v>283</v>
      </c>
      <c r="B287" s="10" t="s">
        <v>1129</v>
      </c>
      <c r="C287" s="9"/>
      <c r="D287" s="12" t="s">
        <v>590</v>
      </c>
      <c r="E287" s="9" t="s">
        <v>593</v>
      </c>
      <c r="F287" s="12" t="s">
        <v>706</v>
      </c>
      <c r="G287" s="9" t="s">
        <v>1135</v>
      </c>
      <c r="H287" s="40">
        <v>2.77</v>
      </c>
      <c r="I287" s="30">
        <f t="shared" si="5"/>
        <v>3280</v>
      </c>
      <c r="J287" s="31"/>
      <c r="K287" s="9"/>
      <c r="L287" s="31"/>
      <c r="M287" s="9"/>
      <c r="N287" s="31"/>
      <c r="O287" s="22"/>
      <c r="P287" s="22"/>
      <c r="Q287" s="22"/>
      <c r="R287" s="22"/>
      <c r="S287" s="31">
        <f>225+1586+1469</f>
        <v>3280</v>
      </c>
      <c r="T287" s="22">
        <v>2.5</v>
      </c>
      <c r="U287" s="22">
        <v>2.5</v>
      </c>
      <c r="V287" s="22">
        <v>1.3</v>
      </c>
      <c r="W287" s="22">
        <v>1.3</v>
      </c>
      <c r="X287" s="9" t="s">
        <v>1294</v>
      </c>
      <c r="Y287" s="9" t="s">
        <v>762</v>
      </c>
      <c r="Z287" s="9" t="s">
        <v>763</v>
      </c>
      <c r="AA287" s="9"/>
      <c r="AB287" s="9"/>
    </row>
    <row r="288" spans="1:28" s="1" customFormat="1" hidden="1" x14ac:dyDescent="0.3">
      <c r="A288" s="2">
        <v>284</v>
      </c>
      <c r="B288" s="10" t="s">
        <v>1129</v>
      </c>
      <c r="C288" s="9" t="s">
        <v>593</v>
      </c>
      <c r="D288" s="12" t="s">
        <v>706</v>
      </c>
      <c r="E288" s="9" t="s">
        <v>592</v>
      </c>
      <c r="F288" s="12" t="s">
        <v>591</v>
      </c>
      <c r="G288" s="9" t="s">
        <v>1136</v>
      </c>
      <c r="H288" s="40" t="s">
        <v>1278</v>
      </c>
      <c r="I288" s="30">
        <f t="shared" si="5"/>
        <v>2226</v>
      </c>
      <c r="J288" s="31"/>
      <c r="K288" s="9"/>
      <c r="L288" s="31"/>
      <c r="M288" s="9"/>
      <c r="N288" s="31">
        <f>1111+1115</f>
        <v>2226</v>
      </c>
      <c r="O288" s="22">
        <v>2</v>
      </c>
      <c r="P288" s="22">
        <v>2</v>
      </c>
      <c r="Q288" s="22">
        <v>2.75</v>
      </c>
      <c r="R288" s="22">
        <v>2.75</v>
      </c>
      <c r="S288" s="31"/>
      <c r="T288" s="22"/>
      <c r="U288" s="22"/>
      <c r="V288" s="22"/>
      <c r="W288" s="22"/>
      <c r="X288" s="9"/>
      <c r="Y288" s="9" t="s">
        <v>762</v>
      </c>
      <c r="Z288" s="9" t="s">
        <v>763</v>
      </c>
      <c r="AA288" s="9" t="s">
        <v>760</v>
      </c>
      <c r="AB288" s="9" t="s">
        <v>759</v>
      </c>
    </row>
    <row r="289" spans="1:28" s="1" customFormat="1" hidden="1" x14ac:dyDescent="0.3">
      <c r="A289" s="2">
        <v>285</v>
      </c>
      <c r="B289" s="10" t="s">
        <v>1137</v>
      </c>
      <c r="C289" s="9" t="s">
        <v>594</v>
      </c>
      <c r="D289" s="12" t="s">
        <v>595</v>
      </c>
      <c r="E289" s="9" t="s">
        <v>593</v>
      </c>
      <c r="F289" s="12" t="s">
        <v>596</v>
      </c>
      <c r="G289" s="9" t="s">
        <v>1138</v>
      </c>
      <c r="H289" s="40">
        <v>2.65</v>
      </c>
      <c r="I289" s="30">
        <f t="shared" si="5"/>
        <v>2928</v>
      </c>
      <c r="J289" s="31"/>
      <c r="K289" s="9"/>
      <c r="L289" s="31"/>
      <c r="M289" s="9"/>
      <c r="N289" s="31"/>
      <c r="O289" s="22"/>
      <c r="P289" s="22"/>
      <c r="Q289" s="22"/>
      <c r="R289" s="22"/>
      <c r="S289" s="31">
        <f>344+354+2230</f>
        <v>2928</v>
      </c>
      <c r="T289" s="22">
        <v>3</v>
      </c>
      <c r="U289" s="22">
        <v>3</v>
      </c>
      <c r="V289" s="22">
        <v>1.8</v>
      </c>
      <c r="W289" s="22">
        <v>1.8</v>
      </c>
      <c r="X289" s="9" t="s">
        <v>1294</v>
      </c>
      <c r="Y289" s="9" t="s">
        <v>762</v>
      </c>
      <c r="Z289" s="9" t="s">
        <v>763</v>
      </c>
      <c r="AA289" s="9"/>
      <c r="AB289" s="9"/>
    </row>
    <row r="290" spans="1:28" s="1" customFormat="1" hidden="1" x14ac:dyDescent="0.3">
      <c r="A290" s="2">
        <v>286</v>
      </c>
      <c r="B290" s="10" t="s">
        <v>1137</v>
      </c>
      <c r="C290" s="9" t="s">
        <v>594</v>
      </c>
      <c r="D290" s="12" t="s">
        <v>595</v>
      </c>
      <c r="E290" s="9" t="s">
        <v>597</v>
      </c>
      <c r="F290" s="12" t="s">
        <v>598</v>
      </c>
      <c r="G290" s="9" t="s">
        <v>1138</v>
      </c>
      <c r="H290" s="40" t="s">
        <v>1278</v>
      </c>
      <c r="I290" s="30">
        <f t="shared" si="5"/>
        <v>2281</v>
      </c>
      <c r="J290" s="31"/>
      <c r="K290" s="9"/>
      <c r="L290" s="31"/>
      <c r="M290" s="9"/>
      <c r="N290" s="31">
        <v>2281</v>
      </c>
      <c r="O290" s="22">
        <v>2</v>
      </c>
      <c r="P290" s="22">
        <v>2</v>
      </c>
      <c r="Q290" s="22">
        <v>2.5</v>
      </c>
      <c r="R290" s="22">
        <v>2.5</v>
      </c>
      <c r="S290" s="31"/>
      <c r="T290" s="22"/>
      <c r="U290" s="22"/>
      <c r="V290" s="22"/>
      <c r="W290" s="22"/>
      <c r="X290" s="9"/>
      <c r="Y290" s="9" t="s">
        <v>762</v>
      </c>
      <c r="Z290" s="9" t="s">
        <v>763</v>
      </c>
      <c r="AA290" s="9" t="s">
        <v>760</v>
      </c>
      <c r="AB290" s="9" t="s">
        <v>759</v>
      </c>
    </row>
    <row r="291" spans="1:28" s="1" customFormat="1" hidden="1" x14ac:dyDescent="0.3">
      <c r="A291" s="2">
        <v>287</v>
      </c>
      <c r="B291" s="10" t="s">
        <v>1141</v>
      </c>
      <c r="C291" s="9" t="s">
        <v>592</v>
      </c>
      <c r="D291" s="12" t="s">
        <v>604</v>
      </c>
      <c r="E291" s="9" t="s">
        <v>606</v>
      </c>
      <c r="F291" s="12" t="s">
        <v>605</v>
      </c>
      <c r="G291" s="9" t="s">
        <v>1142</v>
      </c>
      <c r="H291" s="40">
        <v>6.46</v>
      </c>
      <c r="I291" s="30">
        <f t="shared" si="5"/>
        <v>3370</v>
      </c>
      <c r="J291" s="31"/>
      <c r="K291" s="9"/>
      <c r="L291" s="31"/>
      <c r="M291" s="9"/>
      <c r="N291" s="31">
        <f>1679+1691</f>
        <v>3370</v>
      </c>
      <c r="O291" s="22">
        <v>2</v>
      </c>
      <c r="P291" s="22">
        <v>2</v>
      </c>
      <c r="Q291" s="22">
        <v>2.75</v>
      </c>
      <c r="R291" s="22">
        <v>2.75</v>
      </c>
      <c r="S291" s="31"/>
      <c r="T291" s="22"/>
      <c r="U291" s="22"/>
      <c r="V291" s="22"/>
      <c r="W291" s="22"/>
      <c r="X291" s="9" t="s">
        <v>1294</v>
      </c>
      <c r="Y291" s="9" t="s">
        <v>762</v>
      </c>
      <c r="Z291" s="9" t="s">
        <v>763</v>
      </c>
      <c r="AA291" s="9" t="s">
        <v>760</v>
      </c>
      <c r="AB291" s="9" t="s">
        <v>759</v>
      </c>
    </row>
    <row r="292" spans="1:28" s="1" customFormat="1" hidden="1" x14ac:dyDescent="0.3">
      <c r="A292" s="2">
        <v>288</v>
      </c>
      <c r="B292" s="10" t="s">
        <v>1143</v>
      </c>
      <c r="C292" s="9" t="s">
        <v>610</v>
      </c>
      <c r="D292" s="12" t="s">
        <v>607</v>
      </c>
      <c r="E292" s="9" t="s">
        <v>609</v>
      </c>
      <c r="F292" s="12" t="s">
        <v>608</v>
      </c>
      <c r="G292" s="9" t="s">
        <v>1144</v>
      </c>
      <c r="H292" s="40">
        <v>8.3000000000000007</v>
      </c>
      <c r="I292" s="30">
        <f t="shared" si="5"/>
        <v>2135</v>
      </c>
      <c r="J292" s="31"/>
      <c r="K292" s="9"/>
      <c r="L292" s="31"/>
      <c r="M292" s="9"/>
      <c r="N292" s="31"/>
      <c r="O292" s="22"/>
      <c r="P292" s="22"/>
      <c r="Q292" s="22"/>
      <c r="R292" s="22"/>
      <c r="S292" s="31">
        <f>1068+1067</f>
        <v>2135</v>
      </c>
      <c r="T292" s="22">
        <v>2.5</v>
      </c>
      <c r="U292" s="22">
        <v>2.5</v>
      </c>
      <c r="V292" s="22">
        <v>1.3</v>
      </c>
      <c r="W292" s="22">
        <v>1.3</v>
      </c>
      <c r="X292" s="9" t="s">
        <v>1294</v>
      </c>
      <c r="Y292" s="9" t="s">
        <v>762</v>
      </c>
      <c r="Z292" s="9" t="s">
        <v>763</v>
      </c>
      <c r="AA292" s="9"/>
      <c r="AB292" s="9"/>
    </row>
    <row r="293" spans="1:28" s="1" customFormat="1" hidden="1" x14ac:dyDescent="0.3">
      <c r="A293" s="2">
        <v>289</v>
      </c>
      <c r="B293" s="10" t="s">
        <v>1146</v>
      </c>
      <c r="C293" s="9" t="s">
        <v>619</v>
      </c>
      <c r="D293" s="12" t="s">
        <v>1348</v>
      </c>
      <c r="E293" s="9" t="s">
        <v>592</v>
      </c>
      <c r="F293" s="12" t="s">
        <v>620</v>
      </c>
      <c r="G293" s="9" t="s">
        <v>1349</v>
      </c>
      <c r="H293" s="40">
        <v>1.66</v>
      </c>
      <c r="I293" s="30">
        <f t="shared" si="5"/>
        <v>3245</v>
      </c>
      <c r="J293" s="31"/>
      <c r="K293" s="9"/>
      <c r="L293" s="31"/>
      <c r="M293" s="9"/>
      <c r="N293" s="31"/>
      <c r="O293" s="22"/>
      <c r="P293" s="22"/>
      <c r="Q293" s="22"/>
      <c r="R293" s="22"/>
      <c r="S293" s="31">
        <f>1599+1646</f>
        <v>3245</v>
      </c>
      <c r="T293" s="22">
        <v>2.5</v>
      </c>
      <c r="U293" s="22">
        <v>3</v>
      </c>
      <c r="V293" s="22">
        <v>1.3</v>
      </c>
      <c r="W293" s="22">
        <v>1.8</v>
      </c>
      <c r="X293" s="9" t="s">
        <v>1294</v>
      </c>
      <c r="Y293" s="9" t="s">
        <v>762</v>
      </c>
      <c r="Z293" s="9" t="s">
        <v>763</v>
      </c>
      <c r="AA293" s="9"/>
      <c r="AB293" s="9"/>
    </row>
    <row r="294" spans="1:28" s="1" customFormat="1" hidden="1" x14ac:dyDescent="0.3">
      <c r="A294" s="2">
        <v>290</v>
      </c>
      <c r="B294" s="19" t="s">
        <v>1147</v>
      </c>
      <c r="C294" s="9" t="s">
        <v>1350</v>
      </c>
      <c r="D294" s="9" t="s">
        <v>1351</v>
      </c>
      <c r="E294" s="16" t="s">
        <v>606</v>
      </c>
      <c r="F294" s="12" t="s">
        <v>621</v>
      </c>
      <c r="G294" s="9"/>
      <c r="H294" s="40">
        <v>0.47</v>
      </c>
      <c r="I294" s="30">
        <f t="shared" si="5"/>
        <v>958</v>
      </c>
      <c r="J294" s="31"/>
      <c r="K294" s="9"/>
      <c r="L294" s="31"/>
      <c r="M294" s="9"/>
      <c r="N294" s="31"/>
      <c r="O294" s="22"/>
      <c r="P294" s="22"/>
      <c r="Q294" s="22"/>
      <c r="R294" s="22"/>
      <c r="S294" s="31">
        <f>478+480</f>
        <v>958</v>
      </c>
      <c r="T294" s="22">
        <v>3</v>
      </c>
      <c r="U294" s="22">
        <v>3</v>
      </c>
      <c r="V294" s="22">
        <v>1.8</v>
      </c>
      <c r="W294" s="22">
        <v>1.8</v>
      </c>
      <c r="X294" s="9" t="s">
        <v>1294</v>
      </c>
      <c r="Y294" s="9" t="s">
        <v>762</v>
      </c>
      <c r="Z294" s="9" t="s">
        <v>763</v>
      </c>
      <c r="AA294" s="9"/>
      <c r="AB294" s="9"/>
    </row>
    <row r="295" spans="1:28" s="1" customFormat="1" hidden="1" x14ac:dyDescent="0.3">
      <c r="A295" s="2">
        <v>291</v>
      </c>
      <c r="B295" s="19" t="s">
        <v>1148</v>
      </c>
      <c r="C295" s="9" t="s">
        <v>592</v>
      </c>
      <c r="D295" s="12" t="s">
        <v>622</v>
      </c>
      <c r="E295" s="16" t="s">
        <v>606</v>
      </c>
      <c r="F295" s="12" t="s">
        <v>623</v>
      </c>
      <c r="G295" s="9"/>
      <c r="H295" s="40">
        <v>0.94</v>
      </c>
      <c r="I295" s="30">
        <f t="shared" si="5"/>
        <v>1877</v>
      </c>
      <c r="J295" s="31"/>
      <c r="K295" s="9"/>
      <c r="L295" s="31"/>
      <c r="M295" s="9"/>
      <c r="N295" s="31"/>
      <c r="O295" s="22"/>
      <c r="P295" s="22"/>
      <c r="Q295" s="22"/>
      <c r="R295" s="22"/>
      <c r="S295" s="31">
        <f>937+940</f>
        <v>1877</v>
      </c>
      <c r="T295" s="22">
        <v>2.5</v>
      </c>
      <c r="U295" s="22">
        <v>3</v>
      </c>
      <c r="V295" s="22">
        <v>1.3</v>
      </c>
      <c r="W295" s="22">
        <v>1.8</v>
      </c>
      <c r="X295" s="9" t="s">
        <v>1294</v>
      </c>
      <c r="Y295" s="9" t="s">
        <v>762</v>
      </c>
      <c r="Z295" s="9" t="s">
        <v>763</v>
      </c>
      <c r="AA295" s="9"/>
      <c r="AB295" s="9"/>
    </row>
    <row r="296" spans="1:28" s="1" customFormat="1" hidden="1" x14ac:dyDescent="0.3">
      <c r="A296" s="2">
        <v>292</v>
      </c>
      <c r="B296" s="19" t="s">
        <v>1149</v>
      </c>
      <c r="C296" s="9" t="s">
        <v>1352</v>
      </c>
      <c r="D296" s="9" t="s">
        <v>1353</v>
      </c>
      <c r="E296" s="9" t="s">
        <v>600</v>
      </c>
      <c r="F296" s="9" t="s">
        <v>1353</v>
      </c>
      <c r="G296" s="9"/>
      <c r="H296" s="40">
        <v>0.45</v>
      </c>
      <c r="I296" s="30">
        <f t="shared" si="5"/>
        <v>902</v>
      </c>
      <c r="J296" s="31"/>
      <c r="K296" s="9"/>
      <c r="L296" s="31"/>
      <c r="M296" s="9"/>
      <c r="N296" s="31"/>
      <c r="O296" s="22"/>
      <c r="P296" s="22"/>
      <c r="Q296" s="22"/>
      <c r="R296" s="22"/>
      <c r="S296" s="31">
        <f>434+468</f>
        <v>902</v>
      </c>
      <c r="T296" s="22">
        <v>2.5</v>
      </c>
      <c r="U296" s="22">
        <v>2.5</v>
      </c>
      <c r="V296" s="22">
        <v>1.3</v>
      </c>
      <c r="W296" s="22">
        <v>1.3</v>
      </c>
      <c r="X296" s="9" t="s">
        <v>1294</v>
      </c>
      <c r="Y296" s="9" t="s">
        <v>762</v>
      </c>
      <c r="Z296" s="9" t="s">
        <v>763</v>
      </c>
      <c r="AA296" s="9"/>
      <c r="AB296" s="9"/>
    </row>
    <row r="297" spans="1:28" s="1" customFormat="1" hidden="1" x14ac:dyDescent="0.3">
      <c r="A297" s="2">
        <v>293</v>
      </c>
      <c r="B297" s="19" t="s">
        <v>1150</v>
      </c>
      <c r="C297" s="9" t="s">
        <v>600</v>
      </c>
      <c r="D297" s="12" t="s">
        <v>624</v>
      </c>
      <c r="E297" s="9" t="s">
        <v>593</v>
      </c>
      <c r="F297" s="12" t="s">
        <v>625</v>
      </c>
      <c r="G297" s="9" t="s">
        <v>1354</v>
      </c>
      <c r="H297" s="40">
        <v>0.53</v>
      </c>
      <c r="I297" s="30">
        <f t="shared" si="5"/>
        <v>1055</v>
      </c>
      <c r="J297" s="31"/>
      <c r="K297" s="9"/>
      <c r="L297" s="31"/>
      <c r="M297" s="9"/>
      <c r="N297" s="31"/>
      <c r="O297" s="22"/>
      <c r="P297" s="22"/>
      <c r="Q297" s="22"/>
      <c r="R297" s="22"/>
      <c r="S297" s="31">
        <f>524+531</f>
        <v>1055</v>
      </c>
      <c r="T297" s="22">
        <v>3</v>
      </c>
      <c r="U297" s="22">
        <v>3</v>
      </c>
      <c r="V297" s="22">
        <v>1.8</v>
      </c>
      <c r="W297" s="22">
        <v>1.8</v>
      </c>
      <c r="X297" s="9" t="s">
        <v>1294</v>
      </c>
      <c r="Y297" s="9" t="s">
        <v>762</v>
      </c>
      <c r="Z297" s="9" t="s">
        <v>763</v>
      </c>
      <c r="AA297" s="9"/>
      <c r="AB297" s="9"/>
    </row>
    <row r="298" spans="1:28" s="1" customFormat="1" hidden="1" x14ac:dyDescent="0.3">
      <c r="A298" s="2">
        <v>294</v>
      </c>
      <c r="B298" s="19" t="s">
        <v>1151</v>
      </c>
      <c r="C298" s="9" t="s">
        <v>1355</v>
      </c>
      <c r="D298" s="12" t="s">
        <v>626</v>
      </c>
      <c r="E298" s="9" t="s">
        <v>618</v>
      </c>
      <c r="F298" s="12" t="s">
        <v>627</v>
      </c>
      <c r="G298" s="9" t="s">
        <v>1356</v>
      </c>
      <c r="H298" s="40">
        <v>0.73</v>
      </c>
      <c r="I298" s="30">
        <f t="shared" si="5"/>
        <v>1462</v>
      </c>
      <c r="J298" s="31"/>
      <c r="K298" s="9"/>
      <c r="L298" s="31"/>
      <c r="M298" s="9"/>
      <c r="N298" s="31"/>
      <c r="O298" s="22"/>
      <c r="P298" s="22"/>
      <c r="Q298" s="22"/>
      <c r="R298" s="22"/>
      <c r="S298" s="31">
        <f>730+732</f>
        <v>1462</v>
      </c>
      <c r="T298" s="22">
        <v>3</v>
      </c>
      <c r="U298" s="22">
        <v>3</v>
      </c>
      <c r="V298" s="22">
        <v>1.8</v>
      </c>
      <c r="W298" s="22">
        <v>1.8</v>
      </c>
      <c r="X298" s="9" t="s">
        <v>1294</v>
      </c>
      <c r="Y298" s="9" t="s">
        <v>762</v>
      </c>
      <c r="Z298" s="9" t="s">
        <v>763</v>
      </c>
      <c r="AA298" s="9"/>
      <c r="AB298" s="9"/>
    </row>
    <row r="299" spans="1:28" s="1" customFormat="1" hidden="1" x14ac:dyDescent="0.3">
      <c r="A299" s="2">
        <v>295</v>
      </c>
      <c r="B299" s="19" t="s">
        <v>1152</v>
      </c>
      <c r="C299" s="9" t="s">
        <v>1357</v>
      </c>
      <c r="D299" s="12" t="s">
        <v>628</v>
      </c>
      <c r="E299" s="9" t="s">
        <v>1350</v>
      </c>
      <c r="F299" s="12" t="s">
        <v>629</v>
      </c>
      <c r="G299" s="9"/>
      <c r="H299" s="40">
        <v>0.35</v>
      </c>
      <c r="I299" s="30">
        <f t="shared" si="5"/>
        <v>688</v>
      </c>
      <c r="J299" s="31"/>
      <c r="K299" s="9"/>
      <c r="L299" s="31"/>
      <c r="M299" s="9"/>
      <c r="N299" s="31"/>
      <c r="O299" s="22"/>
      <c r="P299" s="22"/>
      <c r="Q299" s="22"/>
      <c r="R299" s="22"/>
      <c r="S299" s="31">
        <f>343+345</f>
        <v>688</v>
      </c>
      <c r="T299" s="22">
        <v>3</v>
      </c>
      <c r="U299" s="22">
        <v>3</v>
      </c>
      <c r="V299" s="22">
        <v>1.8</v>
      </c>
      <c r="W299" s="22">
        <v>1.8</v>
      </c>
      <c r="X299" s="9" t="s">
        <v>1294</v>
      </c>
      <c r="Y299" s="9" t="s">
        <v>762</v>
      </c>
      <c r="Z299" s="9" t="s">
        <v>763</v>
      </c>
      <c r="AA299" s="9"/>
      <c r="AB299" s="9"/>
    </row>
    <row r="300" spans="1:28" s="1" customFormat="1" hidden="1" x14ac:dyDescent="0.3">
      <c r="A300" s="2">
        <v>296</v>
      </c>
      <c r="B300" s="19" t="s">
        <v>1153</v>
      </c>
      <c r="C300" s="9" t="s">
        <v>1350</v>
      </c>
      <c r="D300" s="12" t="s">
        <v>726</v>
      </c>
      <c r="E300" s="9" t="s">
        <v>1358</v>
      </c>
      <c r="F300" s="12" t="s">
        <v>727</v>
      </c>
      <c r="G300" s="9" t="s">
        <v>1359</v>
      </c>
      <c r="H300" s="40">
        <v>0.33</v>
      </c>
      <c r="I300" s="30">
        <f t="shared" si="5"/>
        <v>652</v>
      </c>
      <c r="J300" s="31"/>
      <c r="K300" s="9"/>
      <c r="L300" s="31"/>
      <c r="M300" s="9"/>
      <c r="N300" s="31"/>
      <c r="O300" s="22"/>
      <c r="P300" s="22"/>
      <c r="Q300" s="22"/>
      <c r="R300" s="22"/>
      <c r="S300" s="31">
        <f>328+324</f>
        <v>652</v>
      </c>
      <c r="T300" s="22">
        <v>3</v>
      </c>
      <c r="U300" s="22">
        <v>3</v>
      </c>
      <c r="V300" s="22">
        <v>1.8</v>
      </c>
      <c r="W300" s="22">
        <v>1.8</v>
      </c>
      <c r="X300" s="9" t="s">
        <v>1294</v>
      </c>
      <c r="Y300" s="9" t="s">
        <v>762</v>
      </c>
      <c r="Z300" s="9" t="s">
        <v>763</v>
      </c>
      <c r="AA300" s="9"/>
      <c r="AB300" s="9"/>
    </row>
    <row r="301" spans="1:28" s="1" customFormat="1" hidden="1" x14ac:dyDescent="0.3">
      <c r="A301" s="2">
        <v>297</v>
      </c>
      <c r="B301" s="19" t="s">
        <v>1154</v>
      </c>
      <c r="C301" s="9" t="s">
        <v>631</v>
      </c>
      <c r="D301" s="12" t="s">
        <v>630</v>
      </c>
      <c r="E301" s="9" t="s">
        <v>619</v>
      </c>
      <c r="F301" s="12" t="s">
        <v>632</v>
      </c>
      <c r="G301" s="12" t="s">
        <v>615</v>
      </c>
      <c r="H301" s="40">
        <v>0.34</v>
      </c>
      <c r="I301" s="30">
        <f t="shared" si="5"/>
        <v>539</v>
      </c>
      <c r="J301" s="31"/>
      <c r="K301" s="9"/>
      <c r="L301" s="31"/>
      <c r="M301" s="9"/>
      <c r="N301" s="31"/>
      <c r="O301" s="22"/>
      <c r="P301" s="22"/>
      <c r="Q301" s="22"/>
      <c r="R301" s="22"/>
      <c r="S301" s="31">
        <f>339+200</f>
        <v>539</v>
      </c>
      <c r="T301" s="22">
        <v>2</v>
      </c>
      <c r="U301" s="22">
        <v>2</v>
      </c>
      <c r="V301" s="22">
        <v>2</v>
      </c>
      <c r="W301" s="22">
        <v>2</v>
      </c>
      <c r="X301" s="9" t="s">
        <v>1294</v>
      </c>
      <c r="Y301" s="9" t="s">
        <v>765</v>
      </c>
      <c r="Z301" s="9" t="s">
        <v>763</v>
      </c>
      <c r="AA301" s="9"/>
      <c r="AB301" s="9"/>
    </row>
    <row r="302" spans="1:28" s="1" customFormat="1" hidden="1" x14ac:dyDescent="0.3">
      <c r="A302" s="2">
        <v>298</v>
      </c>
      <c r="B302" s="4" t="s">
        <v>182</v>
      </c>
      <c r="C302" s="7" t="s">
        <v>1360</v>
      </c>
      <c r="D302" s="12" t="s">
        <v>202</v>
      </c>
      <c r="E302" s="4" t="s">
        <v>1361</v>
      </c>
      <c r="F302" s="12" t="s">
        <v>201</v>
      </c>
      <c r="G302" s="4" t="s">
        <v>1362</v>
      </c>
      <c r="H302" s="39">
        <v>0.81</v>
      </c>
      <c r="I302" s="30">
        <f t="shared" si="5"/>
        <v>808</v>
      </c>
      <c r="J302" s="30"/>
      <c r="K302" s="3"/>
      <c r="L302" s="30"/>
      <c r="M302" s="3"/>
      <c r="N302" s="35">
        <f>401+407</f>
        <v>808</v>
      </c>
      <c r="O302" s="21">
        <v>1.5</v>
      </c>
      <c r="P302" s="21">
        <v>1.5</v>
      </c>
      <c r="Q302" s="21">
        <v>2</v>
      </c>
      <c r="R302" s="21">
        <v>2</v>
      </c>
      <c r="S302" s="35"/>
      <c r="T302" s="21"/>
      <c r="U302" s="21"/>
      <c r="V302" s="21"/>
      <c r="W302" s="3"/>
      <c r="X302" s="3" t="s">
        <v>1407</v>
      </c>
      <c r="Y302" s="3" t="s">
        <v>1199</v>
      </c>
      <c r="Z302" s="3" t="s">
        <v>763</v>
      </c>
      <c r="AA302" s="3" t="s">
        <v>1248</v>
      </c>
      <c r="AB302" s="3" t="s">
        <v>759</v>
      </c>
    </row>
    <row r="303" spans="1:28" ht="17.25" thickBot="1" x14ac:dyDescent="0.35"/>
    <row r="304" spans="1:28" ht="27" thickBot="1" x14ac:dyDescent="0.35">
      <c r="I304" s="74">
        <f>SUBTOTAL(9,I11:I303)</f>
        <v>68464</v>
      </c>
    </row>
  </sheetData>
  <autoFilter ref="D1:D302">
    <filterColumn colId="0">
      <filters blank="1">
        <filter val="1순환로 1032"/>
        <filter val="1순환로 1239"/>
        <filter val="고은리 461-2"/>
        <filter val="단재로 26"/>
        <filter val="단재로 5"/>
        <filter val="대성로 303"/>
        <filter val="명암동 115-14"/>
        <filter val="명암로 171"/>
        <filter val="목련로 60"/>
        <filter val="무심동로 466"/>
        <filter val="무심동로 652"/>
        <filter val="문의면 미천리 산 3-9"/>
        <filter val="문화동 89-4"/>
        <filter val="미원면 쌍이리 293"/>
        <filter val="산성로116번길 5"/>
        <filter val="산성로50번길 1"/>
        <filter val="산성로92번길 6"/>
        <filter val="상당로 322"/>
        <filter val="상당로143번길 16"/>
        <filter val="수영로 349"/>
        <filter val="영동 29"/>
        <filter val="용담동 160-21"/>
        <filter val="용담동 267"/>
        <filter val="용담동 304"/>
        <filter val="용담동 308-11"/>
        <filter val="용담동 308-8"/>
        <filter val="용담동 436"/>
        <filter val="용담로 19"/>
        <filter val="용담로 48-1"/>
        <filter val="용암동 1414"/>
        <filter val="용암동 2082"/>
        <filter val="용암동 2087"/>
        <filter val="용암동 2175"/>
        <filter val="용정동 467-17"/>
        <filter val="용정로38번길 37"/>
        <filter val="운동동 415-2"/>
        <filter val="원봉로 50"/>
        <filter val="중고개로 285"/>
        <filter val="중고개로 311"/>
        <filter val="지번"/>
        <filter val="직지대로 442"/>
        <filter val="직지대로 680"/>
        <filter val="직지대로 713"/>
        <filter val="직지대로 757"/>
        <filter val="직지대로 890"/>
        <filter val="호미로167번길 14"/>
      </filters>
    </filterColumn>
  </autoFilter>
  <dataConsolidate/>
  <customSheetViews>
    <customSheetView guid="{881C3FCF-A7CD-4AD9-88CB-15A5E928DDA6}" scale="85" showPageBreaks="1" view="pageBreakPreview">
      <pane xSplit="2" ySplit="3" topLeftCell="E70" activePane="bottomRight" state="frozen"/>
      <selection pane="bottomRight" activeCell="Y101" sqref="Y101"/>
      <rowBreaks count="2" manualBreakCount="2">
        <brk id="228" max="20" man="1"/>
        <brk id="272" max="16383" man="1"/>
      </rowBreaks>
      <pageMargins left="0.70866141732283472" right="0.70866141732283472" top="0.74803149606299213" bottom="0.74803149606299213" header="0.31496062992125984" footer="0.31496062992125984"/>
      <pageSetup paperSize="9" scale="64" fitToWidth="2" fitToHeight="10" orientation="landscape" r:id="rId1"/>
    </customSheetView>
    <customSheetView guid="{D75B71AA-C357-4E98-861E-5B901B70FE4B}" scale="85" showPageBreaks="1" view="pageBreakPreview">
      <pane ySplit="1" topLeftCell="A248" activePane="bottomLeft" state="frozen"/>
      <selection pane="bottomLeft" activeCell="C261" sqref="C261"/>
      <pageMargins left="0.70866141732283472" right="0.70866141732283472" top="0.74803149606299213" bottom="0.74803149606299213" header="0.31496062992125984" footer="0.31496062992125984"/>
      <pageSetup paperSize="0" fitToWidth="2" fitToHeight="10" orientation="portrait" horizontalDpi="0" verticalDpi="0" copies="0"/>
    </customSheetView>
    <customSheetView guid="{AA4009AF-AFE4-4842-A04E-E160BF41A047}" scale="85" showPageBreaks="1" hiddenColumns="1" view="pageBreakPreview">
      <pane xSplit="9" ySplit="3" topLeftCell="J4" activePane="bottomRight" state="frozen"/>
      <selection pane="bottomRight" activeCell="H292" sqref="B5:H292"/>
      <colBreaks count="1" manualBreakCount="1">
        <brk id="16" max="1048575" man="1"/>
      </colBreaks>
      <pageMargins left="0.70866141732283472" right="0.70866141732283472" top="0.74803149606299213" bottom="0.74803149606299213" header="0.31496062992125984" footer="0.31496062992125984"/>
      <pageSetup paperSize="9" scale="62" fitToWidth="2" fitToHeight="10" orientation="landscape" r:id="rId2"/>
    </customSheetView>
  </customSheetViews>
  <mergeCells count="16">
    <mergeCell ref="J1:AB1"/>
    <mergeCell ref="AA2:AB2"/>
    <mergeCell ref="Y2:Z2"/>
    <mergeCell ref="A1:A3"/>
    <mergeCell ref="B1:I1"/>
    <mergeCell ref="B2:B3"/>
    <mergeCell ref="I2:I3"/>
    <mergeCell ref="C2:D2"/>
    <mergeCell ref="E2:F2"/>
    <mergeCell ref="G2:G3"/>
    <mergeCell ref="S2:W2"/>
    <mergeCell ref="J2:K2"/>
    <mergeCell ref="N2:R2"/>
    <mergeCell ref="L2:M2"/>
    <mergeCell ref="H2:H3"/>
    <mergeCell ref="X2:X3"/>
  </mergeCells>
  <phoneticPr fontId="1" type="noConversion"/>
  <pageMargins left="0.35433070866141736" right="0.23622047244094491" top="0.47244094488188981" bottom="0.15748031496062992" header="0.31496062992125984" footer="0.31496062992125984"/>
  <pageSetup paperSize="8" scale="30" fitToHeight="3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현황조사표</vt:lpstr>
      <vt:lpstr>현황조사표!Print_Area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최승석</dc:creator>
  <cp:lastModifiedBy>cjcity</cp:lastModifiedBy>
  <cp:lastPrinted>2018-09-04T06:13:17Z</cp:lastPrinted>
  <dcterms:created xsi:type="dcterms:W3CDTF">2018-04-23T04:35:50Z</dcterms:created>
  <dcterms:modified xsi:type="dcterms:W3CDTF">2019-10-10T02:42:44Z</dcterms:modified>
</cp:coreProperties>
</file>